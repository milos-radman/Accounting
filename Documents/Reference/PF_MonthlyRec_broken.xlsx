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etoevry-my.sharepoint.com/personal/rikard_krameus_tieto_com/Documents/Product/OCE/ProFinance5/Accounting_Claude/"/>
    </mc:Choice>
  </mc:AlternateContent>
  <xr:revisionPtr revIDLastSave="130" documentId="8_{9DA72980-3032-471C-9000-7069E5B0AD43}" xr6:coauthVersionLast="47" xr6:coauthVersionMax="47" xr10:uidLastSave="{6C7D94ED-D005-4BDC-8B36-F69C43EE05A0}"/>
  <bookViews>
    <workbookView minimized="1" xWindow="1950" yWindow="2160" windowWidth="21600" windowHeight="11295" activeTab="2" xr2:uid="{B8458B3F-8EA4-4C9C-A9C4-18524F1535E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22" i="1" l="1"/>
  <c r="L122" i="1"/>
  <c r="K122" i="1"/>
  <c r="H58" i="2"/>
  <c r="G58" i="2"/>
  <c r="F58" i="2"/>
  <c r="Q16" i="2"/>
</calcChain>
</file>

<file path=xl/sharedStrings.xml><?xml version="1.0" encoding="utf-8"?>
<sst xmlns="http://schemas.openxmlformats.org/spreadsheetml/2006/main" count="911" uniqueCount="226">
  <si>
    <t>Agreement</t>
  </si>
  <si>
    <t>Agreement Description</t>
  </si>
  <si>
    <t>Customer name</t>
  </si>
  <si>
    <t>Currency</t>
  </si>
  <si>
    <t>Agreement line</t>
  </si>
  <si>
    <t>Asset description</t>
  </si>
  <si>
    <t>Booked To Month</t>
  </si>
  <si>
    <t>Invoiced To Period</t>
  </si>
  <si>
    <t>Invoicing Period</t>
  </si>
  <si>
    <t>Year Month</t>
  </si>
  <si>
    <t>Amortization</t>
  </si>
  <si>
    <t>Interest</t>
  </si>
  <si>
    <t>Depreciation</t>
  </si>
  <si>
    <t>Depreciation Type</t>
  </si>
  <si>
    <t>Annuity</t>
  </si>
  <si>
    <t>SEK</t>
  </si>
  <si>
    <t>Washing machine</t>
  </si>
  <si>
    <t>Washing GT inc Dryer</t>
  </si>
  <si>
    <t>AB Hospital</t>
  </si>
  <si>
    <t>2022-01-27 00:00:00.000</t>
  </si>
  <si>
    <t>2019-06-01 00:00:00.000</t>
  </si>
  <si>
    <t>2022-02-25 00:00:00.000</t>
  </si>
  <si>
    <t>2022-03-29 00:00:00.000</t>
  </si>
  <si>
    <t>2022-04-27 00:00:00.000</t>
  </si>
  <si>
    <t>2022-05-27 00:00:00.000</t>
  </si>
  <si>
    <t>2022-06-28 00:00:00.000</t>
  </si>
  <si>
    <t>2022-07-28 00:00:00.000</t>
  </si>
  <si>
    <t>2022-08-29 00:00:00.000</t>
  </si>
  <si>
    <t>2022-09-28 00:00:00.000</t>
  </si>
  <si>
    <t>2022-10-27 00:00:00.000</t>
  </si>
  <si>
    <t>2022-11-28 00:00:00.000</t>
  </si>
  <si>
    <t>2022-12-27 00:00:00.000</t>
  </si>
  <si>
    <t>2023-01-30 00:00:00.000</t>
  </si>
  <si>
    <t>2023-02-27 00:00:00.000</t>
  </si>
  <si>
    <t>2023-03-29 00:00:00.000</t>
  </si>
  <si>
    <t>2023-04-26 00:00:00.000</t>
  </si>
  <si>
    <t>2023-05-29 00:00:00.000</t>
  </si>
  <si>
    <t>2023-06-28 00:00:00.000</t>
  </si>
  <si>
    <t>2023-07-26 00:00:00.000</t>
  </si>
  <si>
    <t>2023-08-28 00:00:00.000</t>
  </si>
  <si>
    <t>2023-09-27 00:00:00.000</t>
  </si>
  <si>
    <t>2023-10-25 00:00:00.000</t>
  </si>
  <si>
    <t>2023-11-13 00:00:00.000</t>
  </si>
  <si>
    <t>2023-11-27 00:00:00.000</t>
  </si>
  <si>
    <t>2023-12-27 00:00:00.000</t>
  </si>
  <si>
    <t>2024-01-29 00:00:00.000</t>
  </si>
  <si>
    <t>2024-02-27 00:00:00.000</t>
  </si>
  <si>
    <t>2024-03-27 00:00:00.000</t>
  </si>
  <si>
    <t>2024-04-26 00:00:00.000</t>
  </si>
  <si>
    <t>2024-05-29 00:00:00.000</t>
  </si>
  <si>
    <t>2024-06-26 00:00:00.000</t>
  </si>
  <si>
    <t>2024-07-29 00:00:00.000</t>
  </si>
  <si>
    <t>2024-08-28 00:00:00.000</t>
  </si>
  <si>
    <t>2024-09-26 00:00:00.000</t>
  </si>
  <si>
    <t>2024-10-29 00:00:00.000</t>
  </si>
  <si>
    <t>2024-11-28 00:00:00.000</t>
  </si>
  <si>
    <t>2024-12-18 00:00:00.000</t>
  </si>
  <si>
    <t>2025-01-29 00:00:00.000</t>
  </si>
  <si>
    <t>2025-02-26 00:00:00.000</t>
  </si>
  <si>
    <t>2025-03-27 00:00:00.000</t>
  </si>
  <si>
    <t>2025-04-28 00:00:00.000</t>
  </si>
  <si>
    <t>2025-05-27 00:00:00.000</t>
  </si>
  <si>
    <t>2025-06-26 00:00:00.000</t>
  </si>
  <si>
    <t>2025-07-29 00:00:00.000</t>
  </si>
  <si>
    <t>2025-08-27 00:00:00.000</t>
  </si>
  <si>
    <t>2025-09-26 00:00:00.000</t>
  </si>
  <si>
    <t>2025-10-29 00:00:00.000</t>
  </si>
  <si>
    <t>2025-11-27 00:00:00.000</t>
  </si>
  <si>
    <t>2025-12-23 00:00:00.000</t>
  </si>
  <si>
    <t>2026-01-28 00:00:00.000</t>
  </si>
  <si>
    <t>2026-02-26 00:00:00.000</t>
  </si>
  <si>
    <t>2026-03-27 00:00:00.000</t>
  </si>
  <si>
    <t>2026-04-28 00:00:00.000</t>
  </si>
  <si>
    <t>2026-05-27 00:00:00.000</t>
  </si>
  <si>
    <t>2026-06-26 00:00:00.000</t>
  </si>
  <si>
    <t>DueDate</t>
  </si>
  <si>
    <t>Charges</t>
  </si>
  <si>
    <t>VatAmount</t>
  </si>
  <si>
    <t>BookCurrDate</t>
  </si>
  <si>
    <t>IL_Contract  IL_ContractLine IL_Period IL_DueDate              IL_Amortization       IL_Interest           IL_Charges            IL_VatAmount          IL_CurrencyRate IL_NetAmount          IL_BookCurrDate   IL_BookCurrDate</t>
  </si>
  <si>
    <t>NetAmountVatFree</t>
  </si>
  <si>
    <t>NetAmount</t>
  </si>
  <si>
    <t>CurrencyRate</t>
  </si>
  <si>
    <t>Försäkring</t>
  </si>
  <si>
    <t>Driftskostnad</t>
  </si>
  <si>
    <t>Serviceavtal v-cyklar</t>
  </si>
  <si>
    <t>Dubbdäcksavtal v-cykel</t>
  </si>
  <si>
    <t>Transportavtal v-cykel</t>
  </si>
  <si>
    <t>Charge code</t>
  </si>
  <si>
    <t>Description</t>
  </si>
  <si>
    <t>Account</t>
  </si>
  <si>
    <t>Amount</t>
  </si>
  <si>
    <t>Vat code</t>
  </si>
  <si>
    <t>2022-01-10 00:00:00.000</t>
  </si>
  <si>
    <t>2022-02-07 00:00:00.000</t>
  </si>
  <si>
    <t>2022-03-04 00:00:00.000</t>
  </si>
  <si>
    <t>2022-04-05 00:00:00.000</t>
  </si>
  <si>
    <t>2022-05-03 00:00:00.000</t>
  </si>
  <si>
    <t>2022-06-09 00:00:00.000</t>
  </si>
  <si>
    <t>2022-07-06 00:00:00.000</t>
  </si>
  <si>
    <t>2022-08-02 00:00:00.000</t>
  </si>
  <si>
    <t>2022-09-06 00:00:00.000</t>
  </si>
  <si>
    <t>2022-10-05 00:00:00.000</t>
  </si>
  <si>
    <t>2022-11-02 00:00:00.000</t>
  </si>
  <si>
    <t>2022-12-01 00:00:00.000</t>
  </si>
  <si>
    <t>2023-01-05 00:00:00.000</t>
  </si>
  <si>
    <t>2023-02-02 00:00:00.000</t>
  </si>
  <si>
    <t>2023-03-02 00:00:00.000</t>
  </si>
  <si>
    <t>2023-04-04 00:00:00.000</t>
  </si>
  <si>
    <t>2023-05-03 00:00:00.000</t>
  </si>
  <si>
    <t>2023-06-01 00:00:00.000</t>
  </si>
  <si>
    <t>2023-07-05 00:00:00.000</t>
  </si>
  <si>
    <t>2023-08-02 00:00:00.000</t>
  </si>
  <si>
    <t>2023-09-04 00:00:00.000</t>
  </si>
  <si>
    <t>2023-10-24 00:00:00.000</t>
  </si>
  <si>
    <t>2023-11-02 00:00:00.000</t>
  </si>
  <si>
    <t>2023-10-04 00:00:00.000</t>
  </si>
  <si>
    <t>2023-12-01 00:00:00.000</t>
  </si>
  <si>
    <t>2024-01-04 00:00:00.000</t>
  </si>
  <si>
    <t>2024-02-02 00:00:00.000</t>
  </si>
  <si>
    <t>2024-03-04 00:00:00.000</t>
  </si>
  <si>
    <t>2024-04-04 00:00:00.000</t>
  </si>
  <si>
    <t>2024-05-03 00:00:00.000</t>
  </si>
  <si>
    <t>2024-06-04 00:00:00.000</t>
  </si>
  <si>
    <t>2024-07-04 00:00:00.000</t>
  </si>
  <si>
    <t>2024-08-01 00:00:00.000</t>
  </si>
  <si>
    <t>2024-09-03 00:00:00.000</t>
  </si>
  <si>
    <t>2024-10-03 00:00:00.000</t>
  </si>
  <si>
    <t>2024-11-07 00:00:00.000</t>
  </si>
  <si>
    <t>2024-12-03 00:00:00.000</t>
  </si>
  <si>
    <t>2025-01-03 00:00:00.000</t>
  </si>
  <si>
    <t>2025-02-04 00:00:00.000</t>
  </si>
  <si>
    <t>2025-03-05 00:00:00.000</t>
  </si>
  <si>
    <t>2025-04-03 00:00:00.000</t>
  </si>
  <si>
    <t>2025-05-05 00:00:00.000</t>
  </si>
  <si>
    <t>2025-06-03 00:00:00.000</t>
  </si>
  <si>
    <t>2025-07-03 00:00:00.000</t>
  </si>
  <si>
    <t>2025-08-05 00:00:00.000</t>
  </si>
  <si>
    <t>2025-09-03 00:00:00.000</t>
  </si>
  <si>
    <t>2025-10-02 00:00:00.000</t>
  </si>
  <si>
    <t>2025-11-04 00:00:00.000</t>
  </si>
  <si>
    <t>2025-12-02 00:00:00.000</t>
  </si>
  <si>
    <t>2026-01-05 00:00:00.000</t>
  </si>
  <si>
    <t>2026-02-04 00:00:00.000</t>
  </si>
  <si>
    <t>2026-03-03 00:00:00.000</t>
  </si>
  <si>
    <t>2026-04-02 00:00:00.000</t>
  </si>
  <si>
    <t>2026-05-05 00:00:00.000</t>
  </si>
  <si>
    <t>2026-06-02 00:00:00.000</t>
  </si>
  <si>
    <t>ScheduleDate</t>
  </si>
  <si>
    <t>D</t>
  </si>
  <si>
    <t>C</t>
  </si>
  <si>
    <t>XUK251</t>
  </si>
  <si>
    <t>XUK241</t>
  </si>
  <si>
    <t>Formula</t>
  </si>
  <si>
    <t>D/C</t>
  </si>
  <si>
    <t>Customer Invoice Partial Rent</t>
  </si>
  <si>
    <t>Partial Rent - Uses Pseudo account from booking rule</t>
  </si>
  <si>
    <t>Service Charge</t>
  </si>
  <si>
    <t>Customer Invoice Total</t>
  </si>
  <si>
    <t>The Invoice Total from the customer invoice connected to the Contract Line.</t>
  </si>
  <si>
    <t>Customer Invoice Fee</t>
  </si>
  <si>
    <t>The Invoice Fee from the customer invoice connected to the Contract Line.</t>
  </si>
  <si>
    <t>Customer Invoice Insurance Fee</t>
  </si>
  <si>
    <t>The Invoice Insurance Fee from the customer invoice connected to the Contract Line.</t>
  </si>
  <si>
    <t>Customer Invoice Overdue Interest</t>
  </si>
  <si>
    <t>The Overdue Interest from the customer invoice connected to the Contract Line.</t>
  </si>
  <si>
    <t>Customer Invoice Extra Line</t>
  </si>
  <si>
    <t>The Extra Line from the customer invoice connected to the Contract Line.</t>
  </si>
  <si>
    <t>Customer Invoice Charges</t>
  </si>
  <si>
    <t>The Invoice Charges from the customer invoice connected to the Contract Line.</t>
  </si>
  <si>
    <t>Customer Invoice Roundings</t>
  </si>
  <si>
    <t>Decimal adjustment, roundings, from the customer invoice connected to the Contract Line.</t>
  </si>
  <si>
    <t>Customer Invoice Rent</t>
  </si>
  <si>
    <t>The Rent (Amortization + Interest) from the customer invoice connected to the Contract Line.</t>
  </si>
  <si>
    <t>Customer Invoice Disbursement Interest</t>
  </si>
  <si>
    <t>The Disbursement Interest from the customer invoice connected to the Contract Line.</t>
  </si>
  <si>
    <t>Customer Invoice Taxcode VAT</t>
  </si>
  <si>
    <t>The Vat from the invoice for the Contract Line.</t>
  </si>
  <si>
    <t>Invoicing</t>
  </si>
  <si>
    <t>CP</t>
  </si>
  <si>
    <t>Customer On-Account payment</t>
  </si>
  <si>
    <t>Paid Amount from Customer</t>
  </si>
  <si>
    <t>Monthly</t>
  </si>
  <si>
    <t>start</t>
  </si>
  <si>
    <t>2021-12-18 00:00:00.000</t>
  </si>
  <si>
    <t>End</t>
  </si>
  <si>
    <t>original value</t>
  </si>
  <si>
    <t>future value</t>
  </si>
  <si>
    <t>Kopieringsmaskiner</t>
  </si>
  <si>
    <t>Spårvagnar</t>
  </si>
  <si>
    <t>Renova</t>
  </si>
  <si>
    <t>Leasing FL</t>
  </si>
  <si>
    <t>Personalcyklar</t>
  </si>
  <si>
    <t>IT-utrustning - ServiceNow</t>
  </si>
  <si>
    <t>Klient som tjänst</t>
  </si>
  <si>
    <t>IT-utrustning - EJ ServiceNow</t>
  </si>
  <si>
    <t>Fordon</t>
  </si>
  <si>
    <t>Maskiner - OL</t>
  </si>
  <si>
    <t>Redesign</t>
  </si>
  <si>
    <t>Politiker som Tjänst</t>
  </si>
  <si>
    <t>Välfärd som tjänst</t>
  </si>
  <si>
    <t>Maskiner - FL</t>
  </si>
  <si>
    <t>ci</t>
  </si>
  <si>
    <t>Customer Intern</t>
  </si>
  <si>
    <t>PCY</t>
  </si>
  <si>
    <t>OPL</t>
  </si>
  <si>
    <t>HP</t>
  </si>
  <si>
    <t>H. Purchase/Loan</t>
  </si>
  <si>
    <t>MSK</t>
  </si>
  <si>
    <t>pa</t>
  </si>
  <si>
    <t>ProAsset Inventory</t>
  </si>
  <si>
    <t>FLE</t>
  </si>
  <si>
    <t>Financial Lease</t>
  </si>
  <si>
    <t>si</t>
  </si>
  <si>
    <t>Supplier Internal</t>
  </si>
  <si>
    <t>rev</t>
  </si>
  <si>
    <t>Revaluation</t>
  </si>
  <si>
    <t>s</t>
  </si>
  <si>
    <t>Supplier</t>
  </si>
  <si>
    <t>cpu</t>
  </si>
  <si>
    <t>Customer Payments Unknown</t>
  </si>
  <si>
    <t>c</t>
  </si>
  <si>
    <t>Customer</t>
  </si>
  <si>
    <t>KST</t>
  </si>
  <si>
    <t>Products</t>
  </si>
  <si>
    <t>Accounting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</si>
</sst>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42C0-6934-4CD8-BB97-72B7F4607E74}">
  <dimension ref="A1:N122"/>
  <sheetViews>
    <sheetView workbookViewId="0">
      <selection activeCell="M122" sqref="M122"/>
    </sheetView>
  </sheetViews>
  <sheetFormatPr defaultRowHeight="15" x14ac:dyDescent="0.25"/>
  <cols>
    <col min="1" max="1" width="10.28515625" bestFit="1" customWidth="1"/>
    <col min="2" max="2" width="25.7109375" bestFit="1" customWidth="1"/>
    <col min="3" max="3" width="22.5703125" bestFit="1" customWidth="1"/>
    <col min="4" max="4" width="8.7109375" bestFit="1" customWidth="1"/>
    <col min="5" max="5" width="14.140625" bestFit="1" customWidth="1"/>
    <col min="6" max="6" width="25.7109375" bestFit="1" customWidth="1"/>
    <col min="7" max="7" width="16.28515625" bestFit="1" customWidth="1"/>
    <col min="8" max="8" width="17.42578125" bestFit="1" customWidth="1"/>
    <col min="9" max="9" width="15.28515625" bestFit="1" customWidth="1"/>
    <col min="10" max="10" width="10.85546875" bestFit="1" customWidth="1"/>
    <col min="11" max="11" width="12.28515625" bestFit="1" customWidth="1"/>
    <col min="14" max="14" width="16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104924</v>
      </c>
      <c r="B2" t="s">
        <v>16</v>
      </c>
      <c r="C2" t="s">
        <v>18</v>
      </c>
      <c r="D2" t="s">
        <v>15</v>
      </c>
      <c r="E2">
        <v>1</v>
      </c>
      <c r="F2" t="s">
        <v>17</v>
      </c>
      <c r="G2">
        <v>202605</v>
      </c>
      <c r="H2">
        <v>54</v>
      </c>
      <c r="I2">
        <v>1</v>
      </c>
      <c r="J2">
        <v>202112</v>
      </c>
      <c r="K2">
        <v>125.57</v>
      </c>
      <c r="L2">
        <v>18.850000000000001</v>
      </c>
      <c r="M2">
        <v>304.44</v>
      </c>
      <c r="N2" t="s">
        <v>14</v>
      </c>
    </row>
    <row r="3" spans="1:14" x14ac:dyDescent="0.25">
      <c r="A3">
        <v>104924</v>
      </c>
      <c r="B3" t="s">
        <v>16</v>
      </c>
      <c r="C3" t="s">
        <v>18</v>
      </c>
      <c r="D3" t="s">
        <v>15</v>
      </c>
      <c r="E3">
        <v>1</v>
      </c>
      <c r="F3" t="s">
        <v>17</v>
      </c>
      <c r="G3">
        <v>202605</v>
      </c>
      <c r="H3">
        <v>54</v>
      </c>
      <c r="I3">
        <v>1</v>
      </c>
      <c r="J3">
        <v>202201</v>
      </c>
      <c r="K3">
        <v>164.21</v>
      </c>
      <c r="L3">
        <v>24.65</v>
      </c>
      <c r="M3">
        <v>304.44</v>
      </c>
      <c r="N3" t="s">
        <v>14</v>
      </c>
    </row>
    <row r="4" spans="1:14" x14ac:dyDescent="0.25">
      <c r="A4">
        <v>104924</v>
      </c>
      <c r="B4" t="s">
        <v>16</v>
      </c>
      <c r="C4" t="s">
        <v>18</v>
      </c>
      <c r="D4" t="s">
        <v>15</v>
      </c>
      <c r="E4">
        <v>1</v>
      </c>
      <c r="F4" t="s">
        <v>17</v>
      </c>
      <c r="G4">
        <v>202605</v>
      </c>
      <c r="H4">
        <v>54</v>
      </c>
      <c r="I4">
        <v>2</v>
      </c>
      <c r="J4">
        <v>202201</v>
      </c>
      <c r="K4">
        <v>125.84</v>
      </c>
      <c r="L4">
        <v>18.59</v>
      </c>
      <c r="M4">
        <v>0</v>
      </c>
      <c r="N4" t="s">
        <v>14</v>
      </c>
    </row>
    <row r="5" spans="1:14" x14ac:dyDescent="0.25">
      <c r="A5">
        <v>104924</v>
      </c>
      <c r="B5" t="s">
        <v>16</v>
      </c>
      <c r="C5" t="s">
        <v>18</v>
      </c>
      <c r="D5" t="s">
        <v>15</v>
      </c>
      <c r="E5">
        <v>1</v>
      </c>
      <c r="F5" t="s">
        <v>17</v>
      </c>
      <c r="G5">
        <v>202605</v>
      </c>
      <c r="H5">
        <v>54</v>
      </c>
      <c r="I5">
        <v>2</v>
      </c>
      <c r="J5">
        <v>202202</v>
      </c>
      <c r="K5">
        <v>164.55</v>
      </c>
      <c r="L5">
        <v>24.3</v>
      </c>
      <c r="M5">
        <v>304.44</v>
      </c>
      <c r="N5" t="s">
        <v>14</v>
      </c>
    </row>
    <row r="6" spans="1:14" x14ac:dyDescent="0.25">
      <c r="A6">
        <v>104924</v>
      </c>
      <c r="B6" t="s">
        <v>16</v>
      </c>
      <c r="C6" t="s">
        <v>18</v>
      </c>
      <c r="D6" t="s">
        <v>15</v>
      </c>
      <c r="E6">
        <v>1</v>
      </c>
      <c r="F6" t="s">
        <v>17</v>
      </c>
      <c r="G6">
        <v>202605</v>
      </c>
      <c r="H6">
        <v>54</v>
      </c>
      <c r="I6">
        <v>3</v>
      </c>
      <c r="J6">
        <v>202202</v>
      </c>
      <c r="K6">
        <v>126.1</v>
      </c>
      <c r="L6">
        <v>18.329999999999998</v>
      </c>
      <c r="M6">
        <v>0</v>
      </c>
      <c r="N6" t="s">
        <v>14</v>
      </c>
    </row>
    <row r="7" spans="1:14" x14ac:dyDescent="0.25">
      <c r="A7">
        <v>104924</v>
      </c>
      <c r="B7" t="s">
        <v>16</v>
      </c>
      <c r="C7" t="s">
        <v>18</v>
      </c>
      <c r="D7" t="s">
        <v>15</v>
      </c>
      <c r="E7">
        <v>1</v>
      </c>
      <c r="F7" t="s">
        <v>17</v>
      </c>
      <c r="G7">
        <v>202605</v>
      </c>
      <c r="H7">
        <v>54</v>
      </c>
      <c r="I7">
        <v>3</v>
      </c>
      <c r="J7">
        <v>202203</v>
      </c>
      <c r="K7">
        <v>164.89</v>
      </c>
      <c r="L7">
        <v>23.96</v>
      </c>
      <c r="M7">
        <v>304.44</v>
      </c>
      <c r="N7" t="s">
        <v>14</v>
      </c>
    </row>
    <row r="8" spans="1:14" x14ac:dyDescent="0.25">
      <c r="A8">
        <v>104924</v>
      </c>
      <c r="B8" t="s">
        <v>16</v>
      </c>
      <c r="C8" t="s">
        <v>18</v>
      </c>
      <c r="D8" t="s">
        <v>15</v>
      </c>
      <c r="E8">
        <v>1</v>
      </c>
      <c r="F8" t="s">
        <v>17</v>
      </c>
      <c r="G8">
        <v>202605</v>
      </c>
      <c r="H8">
        <v>54</v>
      </c>
      <c r="I8">
        <v>4</v>
      </c>
      <c r="J8">
        <v>202203</v>
      </c>
      <c r="K8">
        <v>126.36</v>
      </c>
      <c r="L8">
        <v>18.059999999999999</v>
      </c>
      <c r="M8">
        <v>0</v>
      </c>
      <c r="N8" t="s">
        <v>14</v>
      </c>
    </row>
    <row r="9" spans="1:14" x14ac:dyDescent="0.25">
      <c r="A9">
        <v>104924</v>
      </c>
      <c r="B9" t="s">
        <v>16</v>
      </c>
      <c r="C9" t="s">
        <v>18</v>
      </c>
      <c r="D9" t="s">
        <v>15</v>
      </c>
      <c r="E9">
        <v>1</v>
      </c>
      <c r="F9" t="s">
        <v>17</v>
      </c>
      <c r="G9">
        <v>202605</v>
      </c>
      <c r="H9">
        <v>54</v>
      </c>
      <c r="I9">
        <v>4</v>
      </c>
      <c r="J9">
        <v>202204</v>
      </c>
      <c r="K9">
        <v>165.24</v>
      </c>
      <c r="L9">
        <v>23.62</v>
      </c>
      <c r="M9">
        <v>304.44</v>
      </c>
      <c r="N9" t="s">
        <v>14</v>
      </c>
    </row>
    <row r="10" spans="1:14" x14ac:dyDescent="0.25">
      <c r="A10">
        <v>104924</v>
      </c>
      <c r="B10" t="s">
        <v>16</v>
      </c>
      <c r="C10" t="s">
        <v>18</v>
      </c>
      <c r="D10" t="s">
        <v>15</v>
      </c>
      <c r="E10">
        <v>1</v>
      </c>
      <c r="F10" t="s">
        <v>17</v>
      </c>
      <c r="G10">
        <v>202605</v>
      </c>
      <c r="H10">
        <v>54</v>
      </c>
      <c r="I10">
        <v>5</v>
      </c>
      <c r="J10">
        <v>202204</v>
      </c>
      <c r="K10">
        <v>126.62</v>
      </c>
      <c r="L10">
        <v>17.8</v>
      </c>
      <c r="M10">
        <v>0</v>
      </c>
      <c r="N10" t="s">
        <v>14</v>
      </c>
    </row>
    <row r="11" spans="1:14" x14ac:dyDescent="0.25">
      <c r="A11">
        <v>104924</v>
      </c>
      <c r="B11" t="s">
        <v>16</v>
      </c>
      <c r="C11" t="s">
        <v>18</v>
      </c>
      <c r="D11" t="s">
        <v>15</v>
      </c>
      <c r="E11">
        <v>1</v>
      </c>
      <c r="F11" t="s">
        <v>17</v>
      </c>
      <c r="G11">
        <v>202605</v>
      </c>
      <c r="H11">
        <v>54</v>
      </c>
      <c r="I11">
        <v>5</v>
      </c>
      <c r="J11">
        <v>202205</v>
      </c>
      <c r="K11">
        <v>165.59</v>
      </c>
      <c r="L11">
        <v>23.27</v>
      </c>
      <c r="M11">
        <v>304.44</v>
      </c>
      <c r="N11" t="s">
        <v>14</v>
      </c>
    </row>
    <row r="12" spans="1:14" x14ac:dyDescent="0.25">
      <c r="A12">
        <v>104924</v>
      </c>
      <c r="B12" t="s">
        <v>16</v>
      </c>
      <c r="C12" t="s">
        <v>18</v>
      </c>
      <c r="D12" t="s">
        <v>15</v>
      </c>
      <c r="E12">
        <v>1</v>
      </c>
      <c r="F12" t="s">
        <v>17</v>
      </c>
      <c r="G12">
        <v>202605</v>
      </c>
      <c r="H12">
        <v>54</v>
      </c>
      <c r="I12">
        <v>6</v>
      </c>
      <c r="J12">
        <v>202205</v>
      </c>
      <c r="K12">
        <v>126.89</v>
      </c>
      <c r="L12">
        <v>17.53</v>
      </c>
      <c r="M12">
        <v>0</v>
      </c>
      <c r="N12" t="s">
        <v>14</v>
      </c>
    </row>
    <row r="13" spans="1:14" x14ac:dyDescent="0.25">
      <c r="A13">
        <v>104924</v>
      </c>
      <c r="B13" t="s">
        <v>16</v>
      </c>
      <c r="C13" t="s">
        <v>18</v>
      </c>
      <c r="D13" t="s">
        <v>15</v>
      </c>
      <c r="E13">
        <v>1</v>
      </c>
      <c r="F13" t="s">
        <v>17</v>
      </c>
      <c r="G13">
        <v>202605</v>
      </c>
      <c r="H13">
        <v>54</v>
      </c>
      <c r="I13">
        <v>6</v>
      </c>
      <c r="J13">
        <v>202206</v>
      </c>
      <c r="K13">
        <v>165.93</v>
      </c>
      <c r="L13">
        <v>22.93</v>
      </c>
      <c r="M13">
        <v>304.44</v>
      </c>
      <c r="N13" t="s">
        <v>14</v>
      </c>
    </row>
    <row r="14" spans="1:14" x14ac:dyDescent="0.25">
      <c r="A14">
        <v>104924</v>
      </c>
      <c r="B14" t="s">
        <v>16</v>
      </c>
      <c r="C14" t="s">
        <v>18</v>
      </c>
      <c r="D14" t="s">
        <v>15</v>
      </c>
      <c r="E14">
        <v>1</v>
      </c>
      <c r="F14" t="s">
        <v>17</v>
      </c>
      <c r="G14">
        <v>202605</v>
      </c>
      <c r="H14">
        <v>54</v>
      </c>
      <c r="I14">
        <v>7</v>
      </c>
      <c r="J14">
        <v>202206</v>
      </c>
      <c r="K14">
        <v>127.15</v>
      </c>
      <c r="L14">
        <v>17.27</v>
      </c>
      <c r="M14">
        <v>0</v>
      </c>
      <c r="N14" t="s">
        <v>14</v>
      </c>
    </row>
    <row r="15" spans="1:14" x14ac:dyDescent="0.25">
      <c r="A15">
        <v>104924</v>
      </c>
      <c r="B15" t="s">
        <v>16</v>
      </c>
      <c r="C15" t="s">
        <v>18</v>
      </c>
      <c r="D15" t="s">
        <v>15</v>
      </c>
      <c r="E15">
        <v>1</v>
      </c>
      <c r="F15" t="s">
        <v>17</v>
      </c>
      <c r="G15">
        <v>202605</v>
      </c>
      <c r="H15">
        <v>54</v>
      </c>
      <c r="I15">
        <v>7</v>
      </c>
      <c r="J15">
        <v>202207</v>
      </c>
      <c r="K15">
        <v>166.28</v>
      </c>
      <c r="L15">
        <v>22.58</v>
      </c>
      <c r="M15">
        <v>304.44</v>
      </c>
      <c r="N15" t="s">
        <v>14</v>
      </c>
    </row>
    <row r="16" spans="1:14" x14ac:dyDescent="0.25">
      <c r="A16">
        <v>104924</v>
      </c>
      <c r="B16" t="s">
        <v>16</v>
      </c>
      <c r="C16" t="s">
        <v>18</v>
      </c>
      <c r="D16" t="s">
        <v>15</v>
      </c>
      <c r="E16">
        <v>1</v>
      </c>
      <c r="F16" t="s">
        <v>17</v>
      </c>
      <c r="G16">
        <v>202605</v>
      </c>
      <c r="H16">
        <v>54</v>
      </c>
      <c r="I16">
        <v>8</v>
      </c>
      <c r="J16">
        <v>202207</v>
      </c>
      <c r="K16">
        <v>127.42</v>
      </c>
      <c r="L16">
        <v>17</v>
      </c>
      <c r="M16">
        <v>0</v>
      </c>
      <c r="N16" t="s">
        <v>14</v>
      </c>
    </row>
    <row r="17" spans="1:14" x14ac:dyDescent="0.25">
      <c r="A17">
        <v>104924</v>
      </c>
      <c r="B17" t="s">
        <v>16</v>
      </c>
      <c r="C17" t="s">
        <v>18</v>
      </c>
      <c r="D17" t="s">
        <v>15</v>
      </c>
      <c r="E17">
        <v>1</v>
      </c>
      <c r="F17" t="s">
        <v>17</v>
      </c>
      <c r="G17">
        <v>202605</v>
      </c>
      <c r="H17">
        <v>54</v>
      </c>
      <c r="I17">
        <v>8</v>
      </c>
      <c r="J17">
        <v>202208</v>
      </c>
      <c r="K17">
        <v>166.62</v>
      </c>
      <c r="L17">
        <v>22.24</v>
      </c>
      <c r="M17">
        <v>304.44</v>
      </c>
      <c r="N17" t="s">
        <v>14</v>
      </c>
    </row>
    <row r="18" spans="1:14" x14ac:dyDescent="0.25">
      <c r="A18">
        <v>104924</v>
      </c>
      <c r="B18" t="s">
        <v>16</v>
      </c>
      <c r="C18" t="s">
        <v>18</v>
      </c>
      <c r="D18" t="s">
        <v>15</v>
      </c>
      <c r="E18">
        <v>1</v>
      </c>
      <c r="F18" t="s">
        <v>17</v>
      </c>
      <c r="G18">
        <v>202605</v>
      </c>
      <c r="H18">
        <v>54</v>
      </c>
      <c r="I18">
        <v>9</v>
      </c>
      <c r="J18">
        <v>202208</v>
      </c>
      <c r="K18">
        <v>127.68</v>
      </c>
      <c r="L18">
        <v>16.739999999999998</v>
      </c>
      <c r="M18">
        <v>0</v>
      </c>
      <c r="N18" t="s">
        <v>14</v>
      </c>
    </row>
    <row r="19" spans="1:14" x14ac:dyDescent="0.25">
      <c r="A19">
        <v>104924</v>
      </c>
      <c r="B19" t="s">
        <v>16</v>
      </c>
      <c r="C19" t="s">
        <v>18</v>
      </c>
      <c r="D19" t="s">
        <v>15</v>
      </c>
      <c r="E19">
        <v>1</v>
      </c>
      <c r="F19" t="s">
        <v>17</v>
      </c>
      <c r="G19">
        <v>202605</v>
      </c>
      <c r="H19">
        <v>54</v>
      </c>
      <c r="I19">
        <v>9</v>
      </c>
      <c r="J19">
        <v>202209</v>
      </c>
      <c r="K19">
        <v>166.97</v>
      </c>
      <c r="L19">
        <v>21.89</v>
      </c>
      <c r="M19">
        <v>304.44</v>
      </c>
      <c r="N19" t="s">
        <v>14</v>
      </c>
    </row>
    <row r="20" spans="1:14" x14ac:dyDescent="0.25">
      <c r="A20">
        <v>104924</v>
      </c>
      <c r="B20" t="s">
        <v>16</v>
      </c>
      <c r="C20" t="s">
        <v>18</v>
      </c>
      <c r="D20" t="s">
        <v>15</v>
      </c>
      <c r="E20">
        <v>1</v>
      </c>
      <c r="F20" t="s">
        <v>17</v>
      </c>
      <c r="G20">
        <v>202605</v>
      </c>
      <c r="H20">
        <v>54</v>
      </c>
      <c r="I20">
        <v>10</v>
      </c>
      <c r="J20">
        <v>202209</v>
      </c>
      <c r="K20">
        <v>127.95</v>
      </c>
      <c r="L20">
        <v>16.48</v>
      </c>
      <c r="M20">
        <v>0</v>
      </c>
      <c r="N20" t="s">
        <v>14</v>
      </c>
    </row>
    <row r="21" spans="1:14" x14ac:dyDescent="0.25">
      <c r="A21">
        <v>104924</v>
      </c>
      <c r="B21" t="s">
        <v>16</v>
      </c>
      <c r="C21" t="s">
        <v>18</v>
      </c>
      <c r="D21" t="s">
        <v>15</v>
      </c>
      <c r="E21">
        <v>1</v>
      </c>
      <c r="F21" t="s">
        <v>17</v>
      </c>
      <c r="G21">
        <v>202605</v>
      </c>
      <c r="H21">
        <v>54</v>
      </c>
      <c r="I21">
        <v>10</v>
      </c>
      <c r="J21">
        <v>202210</v>
      </c>
      <c r="K21">
        <v>167.31</v>
      </c>
      <c r="L21">
        <v>21.54</v>
      </c>
      <c r="M21">
        <v>304.44</v>
      </c>
      <c r="N21" t="s">
        <v>14</v>
      </c>
    </row>
    <row r="22" spans="1:14" x14ac:dyDescent="0.25">
      <c r="A22">
        <v>104924</v>
      </c>
      <c r="B22" t="s">
        <v>16</v>
      </c>
      <c r="C22" t="s">
        <v>18</v>
      </c>
      <c r="D22" t="s">
        <v>15</v>
      </c>
      <c r="E22">
        <v>1</v>
      </c>
      <c r="F22" t="s">
        <v>17</v>
      </c>
      <c r="G22">
        <v>202605</v>
      </c>
      <c r="H22">
        <v>54</v>
      </c>
      <c r="I22">
        <v>11</v>
      </c>
      <c r="J22">
        <v>202210</v>
      </c>
      <c r="K22">
        <v>128.22</v>
      </c>
      <c r="L22">
        <v>16.21</v>
      </c>
      <c r="M22">
        <v>0</v>
      </c>
      <c r="N22" t="s">
        <v>14</v>
      </c>
    </row>
    <row r="23" spans="1:14" x14ac:dyDescent="0.25">
      <c r="A23">
        <v>104924</v>
      </c>
      <c r="B23" t="s">
        <v>16</v>
      </c>
      <c r="C23" t="s">
        <v>18</v>
      </c>
      <c r="D23" t="s">
        <v>15</v>
      </c>
      <c r="E23">
        <v>1</v>
      </c>
      <c r="F23" t="s">
        <v>17</v>
      </c>
      <c r="G23">
        <v>202605</v>
      </c>
      <c r="H23">
        <v>54</v>
      </c>
      <c r="I23">
        <v>11</v>
      </c>
      <c r="J23">
        <v>202211</v>
      </c>
      <c r="K23">
        <v>167.66</v>
      </c>
      <c r="L23">
        <v>21.19</v>
      </c>
      <c r="M23">
        <v>304.44</v>
      </c>
      <c r="N23" t="s">
        <v>14</v>
      </c>
    </row>
    <row r="24" spans="1:14" x14ac:dyDescent="0.25">
      <c r="A24">
        <v>104924</v>
      </c>
      <c r="B24" t="s">
        <v>16</v>
      </c>
      <c r="C24" t="s">
        <v>18</v>
      </c>
      <c r="D24" t="s">
        <v>15</v>
      </c>
      <c r="E24">
        <v>1</v>
      </c>
      <c r="F24" t="s">
        <v>17</v>
      </c>
      <c r="G24">
        <v>202605</v>
      </c>
      <c r="H24">
        <v>54</v>
      </c>
      <c r="I24">
        <v>12</v>
      </c>
      <c r="J24">
        <v>202211</v>
      </c>
      <c r="K24">
        <v>128.47999999999999</v>
      </c>
      <c r="L24">
        <v>15.94</v>
      </c>
      <c r="M24">
        <v>0</v>
      </c>
      <c r="N24" t="s">
        <v>14</v>
      </c>
    </row>
    <row r="25" spans="1:14" x14ac:dyDescent="0.25">
      <c r="A25">
        <v>104924</v>
      </c>
      <c r="B25" t="s">
        <v>16</v>
      </c>
      <c r="C25" t="s">
        <v>18</v>
      </c>
      <c r="D25" t="s">
        <v>15</v>
      </c>
      <c r="E25">
        <v>1</v>
      </c>
      <c r="F25" t="s">
        <v>17</v>
      </c>
      <c r="G25">
        <v>202605</v>
      </c>
      <c r="H25">
        <v>54</v>
      </c>
      <c r="I25">
        <v>12</v>
      </c>
      <c r="J25">
        <v>202212</v>
      </c>
      <c r="K25">
        <v>168.02</v>
      </c>
      <c r="L25">
        <v>20.84</v>
      </c>
      <c r="M25">
        <v>304.44</v>
      </c>
      <c r="N25" t="s">
        <v>14</v>
      </c>
    </row>
    <row r="26" spans="1:14" x14ac:dyDescent="0.25">
      <c r="A26">
        <v>104924</v>
      </c>
      <c r="B26" t="s">
        <v>16</v>
      </c>
      <c r="C26" t="s">
        <v>18</v>
      </c>
      <c r="D26" t="s">
        <v>15</v>
      </c>
      <c r="E26">
        <v>1</v>
      </c>
      <c r="F26" t="s">
        <v>17</v>
      </c>
      <c r="G26">
        <v>202605</v>
      </c>
      <c r="H26">
        <v>54</v>
      </c>
      <c r="I26">
        <v>13</v>
      </c>
      <c r="J26">
        <v>202212</v>
      </c>
      <c r="K26">
        <v>128.75</v>
      </c>
      <c r="L26">
        <v>15.67</v>
      </c>
      <c r="M26">
        <v>0</v>
      </c>
      <c r="N26" t="s">
        <v>14</v>
      </c>
    </row>
    <row r="27" spans="1:14" x14ac:dyDescent="0.25">
      <c r="A27">
        <v>104924</v>
      </c>
      <c r="B27" t="s">
        <v>16</v>
      </c>
      <c r="C27" t="s">
        <v>18</v>
      </c>
      <c r="D27" t="s">
        <v>15</v>
      </c>
      <c r="E27">
        <v>1</v>
      </c>
      <c r="F27" t="s">
        <v>17</v>
      </c>
      <c r="G27">
        <v>202605</v>
      </c>
      <c r="H27">
        <v>54</v>
      </c>
      <c r="I27">
        <v>13</v>
      </c>
      <c r="J27">
        <v>202301</v>
      </c>
      <c r="K27">
        <v>168.36</v>
      </c>
      <c r="L27">
        <v>20.5</v>
      </c>
      <c r="M27">
        <v>304.44</v>
      </c>
      <c r="N27" t="s">
        <v>14</v>
      </c>
    </row>
    <row r="28" spans="1:14" x14ac:dyDescent="0.25">
      <c r="A28">
        <v>104924</v>
      </c>
      <c r="B28" t="s">
        <v>16</v>
      </c>
      <c r="C28" t="s">
        <v>18</v>
      </c>
      <c r="D28" t="s">
        <v>15</v>
      </c>
      <c r="E28">
        <v>1</v>
      </c>
      <c r="F28" t="s">
        <v>17</v>
      </c>
      <c r="G28">
        <v>202605</v>
      </c>
      <c r="H28">
        <v>54</v>
      </c>
      <c r="I28">
        <v>14</v>
      </c>
      <c r="J28">
        <v>202301</v>
      </c>
      <c r="K28">
        <v>129.02000000000001</v>
      </c>
      <c r="L28">
        <v>15.4</v>
      </c>
      <c r="M28">
        <v>0</v>
      </c>
      <c r="N28" t="s">
        <v>14</v>
      </c>
    </row>
    <row r="29" spans="1:14" x14ac:dyDescent="0.25">
      <c r="A29">
        <v>104924</v>
      </c>
      <c r="B29" t="s">
        <v>16</v>
      </c>
      <c r="C29" t="s">
        <v>18</v>
      </c>
      <c r="D29" t="s">
        <v>15</v>
      </c>
      <c r="E29">
        <v>1</v>
      </c>
      <c r="F29" t="s">
        <v>17</v>
      </c>
      <c r="G29">
        <v>202605</v>
      </c>
      <c r="H29">
        <v>54</v>
      </c>
      <c r="I29">
        <v>14</v>
      </c>
      <c r="J29">
        <v>202302</v>
      </c>
      <c r="K29">
        <v>168.71</v>
      </c>
      <c r="L29">
        <v>20.149999999999999</v>
      </c>
      <c r="M29">
        <v>304.44</v>
      </c>
      <c r="N29" t="s">
        <v>14</v>
      </c>
    </row>
    <row r="30" spans="1:14" x14ac:dyDescent="0.25">
      <c r="A30">
        <v>104924</v>
      </c>
      <c r="B30" t="s">
        <v>16</v>
      </c>
      <c r="C30" t="s">
        <v>18</v>
      </c>
      <c r="D30" t="s">
        <v>15</v>
      </c>
      <c r="E30">
        <v>1</v>
      </c>
      <c r="F30" t="s">
        <v>17</v>
      </c>
      <c r="G30">
        <v>202605</v>
      </c>
      <c r="H30">
        <v>54</v>
      </c>
      <c r="I30">
        <v>15</v>
      </c>
      <c r="J30">
        <v>202302</v>
      </c>
      <c r="K30">
        <v>129.28</v>
      </c>
      <c r="L30">
        <v>15.14</v>
      </c>
      <c r="M30">
        <v>0</v>
      </c>
      <c r="N30" t="s">
        <v>14</v>
      </c>
    </row>
    <row r="31" spans="1:14" x14ac:dyDescent="0.25">
      <c r="A31">
        <v>104924</v>
      </c>
      <c r="B31" t="s">
        <v>16</v>
      </c>
      <c r="C31" t="s">
        <v>18</v>
      </c>
      <c r="D31" t="s">
        <v>15</v>
      </c>
      <c r="E31">
        <v>1</v>
      </c>
      <c r="F31" t="s">
        <v>17</v>
      </c>
      <c r="G31">
        <v>202605</v>
      </c>
      <c r="H31">
        <v>54</v>
      </c>
      <c r="I31">
        <v>15</v>
      </c>
      <c r="J31">
        <v>202303</v>
      </c>
      <c r="K31">
        <v>169.07</v>
      </c>
      <c r="L31">
        <v>19.79</v>
      </c>
      <c r="M31">
        <v>304.44</v>
      </c>
      <c r="N31" t="s">
        <v>14</v>
      </c>
    </row>
    <row r="32" spans="1:14" x14ac:dyDescent="0.25">
      <c r="A32">
        <v>104924</v>
      </c>
      <c r="B32" t="s">
        <v>16</v>
      </c>
      <c r="C32" t="s">
        <v>18</v>
      </c>
      <c r="D32" t="s">
        <v>15</v>
      </c>
      <c r="E32">
        <v>1</v>
      </c>
      <c r="F32" t="s">
        <v>17</v>
      </c>
      <c r="G32">
        <v>202605</v>
      </c>
      <c r="H32">
        <v>54</v>
      </c>
      <c r="I32">
        <v>16</v>
      </c>
      <c r="J32">
        <v>202303</v>
      </c>
      <c r="K32">
        <v>129.55000000000001</v>
      </c>
      <c r="L32">
        <v>14.87</v>
      </c>
      <c r="M32">
        <v>0</v>
      </c>
      <c r="N32" t="s">
        <v>14</v>
      </c>
    </row>
    <row r="33" spans="1:14" x14ac:dyDescent="0.25">
      <c r="A33">
        <v>104924</v>
      </c>
      <c r="B33" t="s">
        <v>16</v>
      </c>
      <c r="C33" t="s">
        <v>18</v>
      </c>
      <c r="D33" t="s">
        <v>15</v>
      </c>
      <c r="E33">
        <v>1</v>
      </c>
      <c r="F33" t="s">
        <v>17</v>
      </c>
      <c r="G33">
        <v>202605</v>
      </c>
      <c r="H33">
        <v>54</v>
      </c>
      <c r="I33">
        <v>16</v>
      </c>
      <c r="J33">
        <v>202304</v>
      </c>
      <c r="K33">
        <v>169.42</v>
      </c>
      <c r="L33">
        <v>19.440000000000001</v>
      </c>
      <c r="M33">
        <v>304.44</v>
      </c>
      <c r="N33" t="s">
        <v>14</v>
      </c>
    </row>
    <row r="34" spans="1:14" x14ac:dyDescent="0.25">
      <c r="A34">
        <v>104924</v>
      </c>
      <c r="B34" t="s">
        <v>16</v>
      </c>
      <c r="C34" t="s">
        <v>18</v>
      </c>
      <c r="D34" t="s">
        <v>15</v>
      </c>
      <c r="E34">
        <v>1</v>
      </c>
      <c r="F34" t="s">
        <v>17</v>
      </c>
      <c r="G34">
        <v>202605</v>
      </c>
      <c r="H34">
        <v>54</v>
      </c>
      <c r="I34">
        <v>17</v>
      </c>
      <c r="J34">
        <v>202304</v>
      </c>
      <c r="K34">
        <v>129.83000000000001</v>
      </c>
      <c r="L34">
        <v>14.59</v>
      </c>
      <c r="M34">
        <v>0</v>
      </c>
      <c r="N34" t="s">
        <v>14</v>
      </c>
    </row>
    <row r="35" spans="1:14" x14ac:dyDescent="0.25">
      <c r="A35">
        <v>104924</v>
      </c>
      <c r="B35" t="s">
        <v>16</v>
      </c>
      <c r="C35" t="s">
        <v>18</v>
      </c>
      <c r="D35" t="s">
        <v>15</v>
      </c>
      <c r="E35">
        <v>1</v>
      </c>
      <c r="F35" t="s">
        <v>17</v>
      </c>
      <c r="G35">
        <v>202605</v>
      </c>
      <c r="H35">
        <v>54</v>
      </c>
      <c r="I35">
        <v>17</v>
      </c>
      <c r="J35">
        <v>202305</v>
      </c>
      <c r="K35">
        <v>169.77</v>
      </c>
      <c r="L35">
        <v>19.09</v>
      </c>
      <c r="M35">
        <v>304.44</v>
      </c>
      <c r="N35" t="s">
        <v>14</v>
      </c>
    </row>
    <row r="36" spans="1:14" x14ac:dyDescent="0.25">
      <c r="A36">
        <v>104924</v>
      </c>
      <c r="B36" t="s">
        <v>16</v>
      </c>
      <c r="C36" t="s">
        <v>18</v>
      </c>
      <c r="D36" t="s">
        <v>15</v>
      </c>
      <c r="E36">
        <v>1</v>
      </c>
      <c r="F36" t="s">
        <v>17</v>
      </c>
      <c r="G36">
        <v>202605</v>
      </c>
      <c r="H36">
        <v>54</v>
      </c>
      <c r="I36">
        <v>18</v>
      </c>
      <c r="J36">
        <v>202305</v>
      </c>
      <c r="K36">
        <v>130.09</v>
      </c>
      <c r="L36">
        <v>14.33</v>
      </c>
      <c r="M36">
        <v>0</v>
      </c>
      <c r="N36" t="s">
        <v>14</v>
      </c>
    </row>
    <row r="37" spans="1:14" x14ac:dyDescent="0.25">
      <c r="A37">
        <v>104924</v>
      </c>
      <c r="B37" t="s">
        <v>16</v>
      </c>
      <c r="C37" t="s">
        <v>18</v>
      </c>
      <c r="D37" t="s">
        <v>15</v>
      </c>
      <c r="E37">
        <v>1</v>
      </c>
      <c r="F37" t="s">
        <v>17</v>
      </c>
      <c r="G37">
        <v>202605</v>
      </c>
      <c r="H37">
        <v>54</v>
      </c>
      <c r="I37">
        <v>18</v>
      </c>
      <c r="J37">
        <v>202306</v>
      </c>
      <c r="K37">
        <v>170.13</v>
      </c>
      <c r="L37">
        <v>18.73</v>
      </c>
      <c r="M37">
        <v>304.44</v>
      </c>
      <c r="N37" t="s">
        <v>14</v>
      </c>
    </row>
    <row r="38" spans="1:14" x14ac:dyDescent="0.25">
      <c r="A38">
        <v>104924</v>
      </c>
      <c r="B38" t="s">
        <v>16</v>
      </c>
      <c r="C38" t="s">
        <v>18</v>
      </c>
      <c r="D38" t="s">
        <v>15</v>
      </c>
      <c r="E38">
        <v>1</v>
      </c>
      <c r="F38" t="s">
        <v>17</v>
      </c>
      <c r="G38">
        <v>202605</v>
      </c>
      <c r="H38">
        <v>54</v>
      </c>
      <c r="I38">
        <v>19</v>
      </c>
      <c r="J38">
        <v>202306</v>
      </c>
      <c r="K38">
        <v>130.37</v>
      </c>
      <c r="L38">
        <v>14.05</v>
      </c>
      <c r="M38">
        <v>0</v>
      </c>
      <c r="N38" t="s">
        <v>14</v>
      </c>
    </row>
    <row r="39" spans="1:14" x14ac:dyDescent="0.25">
      <c r="A39">
        <v>104924</v>
      </c>
      <c r="B39" t="s">
        <v>16</v>
      </c>
      <c r="C39" t="s">
        <v>18</v>
      </c>
      <c r="D39" t="s">
        <v>15</v>
      </c>
      <c r="E39">
        <v>1</v>
      </c>
      <c r="F39" t="s">
        <v>17</v>
      </c>
      <c r="G39">
        <v>202605</v>
      </c>
      <c r="H39">
        <v>54</v>
      </c>
      <c r="I39">
        <v>19</v>
      </c>
      <c r="J39">
        <v>202307</v>
      </c>
      <c r="K39">
        <v>170.48</v>
      </c>
      <c r="L39">
        <v>18.38</v>
      </c>
      <c r="M39">
        <v>304.44</v>
      </c>
      <c r="N39" t="s">
        <v>14</v>
      </c>
    </row>
    <row r="40" spans="1:14" x14ac:dyDescent="0.25">
      <c r="A40">
        <v>104924</v>
      </c>
      <c r="B40" t="s">
        <v>16</v>
      </c>
      <c r="C40" t="s">
        <v>18</v>
      </c>
      <c r="D40" t="s">
        <v>15</v>
      </c>
      <c r="E40">
        <v>1</v>
      </c>
      <c r="F40" t="s">
        <v>17</v>
      </c>
      <c r="G40">
        <v>202605</v>
      </c>
      <c r="H40">
        <v>54</v>
      </c>
      <c r="I40">
        <v>20</v>
      </c>
      <c r="J40">
        <v>202307</v>
      </c>
      <c r="K40">
        <v>130.63999999999999</v>
      </c>
      <c r="L40">
        <v>13.78</v>
      </c>
      <c r="M40">
        <v>0</v>
      </c>
      <c r="N40" t="s">
        <v>14</v>
      </c>
    </row>
    <row r="41" spans="1:14" x14ac:dyDescent="0.25">
      <c r="A41">
        <v>104924</v>
      </c>
      <c r="B41" t="s">
        <v>16</v>
      </c>
      <c r="C41" t="s">
        <v>18</v>
      </c>
      <c r="D41" t="s">
        <v>15</v>
      </c>
      <c r="E41">
        <v>1</v>
      </c>
      <c r="F41" t="s">
        <v>17</v>
      </c>
      <c r="G41">
        <v>202605</v>
      </c>
      <c r="H41">
        <v>54</v>
      </c>
      <c r="I41">
        <v>20</v>
      </c>
      <c r="J41">
        <v>202308</v>
      </c>
      <c r="K41">
        <v>170.83</v>
      </c>
      <c r="L41">
        <v>18.03</v>
      </c>
      <c r="M41">
        <v>304.44</v>
      </c>
      <c r="N41" t="s">
        <v>14</v>
      </c>
    </row>
    <row r="42" spans="1:14" x14ac:dyDescent="0.25">
      <c r="A42">
        <v>104924</v>
      </c>
      <c r="B42" t="s">
        <v>16</v>
      </c>
      <c r="C42" t="s">
        <v>18</v>
      </c>
      <c r="D42" t="s">
        <v>15</v>
      </c>
      <c r="E42">
        <v>1</v>
      </c>
      <c r="F42" t="s">
        <v>17</v>
      </c>
      <c r="G42">
        <v>202605</v>
      </c>
      <c r="H42">
        <v>54</v>
      </c>
      <c r="I42">
        <v>21</v>
      </c>
      <c r="J42">
        <v>202308</v>
      </c>
      <c r="K42">
        <v>130.91</v>
      </c>
      <c r="L42">
        <v>13.51</v>
      </c>
      <c r="M42">
        <v>0</v>
      </c>
      <c r="N42" t="s">
        <v>14</v>
      </c>
    </row>
    <row r="43" spans="1:14" x14ac:dyDescent="0.25">
      <c r="A43">
        <v>104924</v>
      </c>
      <c r="B43" t="s">
        <v>16</v>
      </c>
      <c r="C43" t="s">
        <v>18</v>
      </c>
      <c r="D43" t="s">
        <v>15</v>
      </c>
      <c r="E43">
        <v>1</v>
      </c>
      <c r="F43" t="s">
        <v>17</v>
      </c>
      <c r="G43">
        <v>202605</v>
      </c>
      <c r="H43">
        <v>54</v>
      </c>
      <c r="I43">
        <v>21</v>
      </c>
      <c r="J43">
        <v>202309</v>
      </c>
      <c r="K43">
        <v>171.19</v>
      </c>
      <c r="L43">
        <v>17.670000000000002</v>
      </c>
      <c r="M43">
        <v>304.44</v>
      </c>
      <c r="N43" t="s">
        <v>14</v>
      </c>
    </row>
    <row r="44" spans="1:14" x14ac:dyDescent="0.25">
      <c r="A44">
        <v>104924</v>
      </c>
      <c r="B44" t="s">
        <v>16</v>
      </c>
      <c r="C44" t="s">
        <v>18</v>
      </c>
      <c r="D44" t="s">
        <v>15</v>
      </c>
      <c r="E44">
        <v>1</v>
      </c>
      <c r="F44" t="s">
        <v>17</v>
      </c>
      <c r="G44">
        <v>202605</v>
      </c>
      <c r="H44">
        <v>54</v>
      </c>
      <c r="I44">
        <v>22</v>
      </c>
      <c r="J44">
        <v>202309</v>
      </c>
      <c r="K44">
        <v>131.18</v>
      </c>
      <c r="L44">
        <v>13.24</v>
      </c>
      <c r="M44">
        <v>0</v>
      </c>
      <c r="N44" t="s">
        <v>14</v>
      </c>
    </row>
    <row r="45" spans="1:14" x14ac:dyDescent="0.25">
      <c r="A45">
        <v>104924</v>
      </c>
      <c r="B45" t="s">
        <v>16</v>
      </c>
      <c r="C45" t="s">
        <v>18</v>
      </c>
      <c r="D45" t="s">
        <v>15</v>
      </c>
      <c r="E45">
        <v>1</v>
      </c>
      <c r="F45" t="s">
        <v>17</v>
      </c>
      <c r="G45">
        <v>202605</v>
      </c>
      <c r="H45">
        <v>54</v>
      </c>
      <c r="I45">
        <v>22</v>
      </c>
      <c r="J45">
        <v>202310</v>
      </c>
      <c r="K45">
        <v>171.55</v>
      </c>
      <c r="L45">
        <v>17.309999999999999</v>
      </c>
      <c r="M45">
        <v>304.44</v>
      </c>
      <c r="N45" t="s">
        <v>14</v>
      </c>
    </row>
    <row r="46" spans="1:14" x14ac:dyDescent="0.25">
      <c r="A46">
        <v>104924</v>
      </c>
      <c r="B46" t="s">
        <v>16</v>
      </c>
      <c r="C46" t="s">
        <v>18</v>
      </c>
      <c r="D46" t="s">
        <v>15</v>
      </c>
      <c r="E46">
        <v>1</v>
      </c>
      <c r="F46" t="s">
        <v>17</v>
      </c>
      <c r="G46">
        <v>202605</v>
      </c>
      <c r="H46">
        <v>54</v>
      </c>
      <c r="I46">
        <v>23</v>
      </c>
      <c r="J46">
        <v>202310</v>
      </c>
      <c r="K46">
        <v>131.46</v>
      </c>
      <c r="L46">
        <v>12.97</v>
      </c>
      <c r="M46">
        <v>0</v>
      </c>
      <c r="N46" t="s">
        <v>14</v>
      </c>
    </row>
    <row r="47" spans="1:14" x14ac:dyDescent="0.25">
      <c r="A47">
        <v>104924</v>
      </c>
      <c r="B47" t="s">
        <v>16</v>
      </c>
      <c r="C47" t="s">
        <v>18</v>
      </c>
      <c r="D47" t="s">
        <v>15</v>
      </c>
      <c r="E47">
        <v>1</v>
      </c>
      <c r="F47" t="s">
        <v>17</v>
      </c>
      <c r="G47">
        <v>202605</v>
      </c>
      <c r="H47">
        <v>54</v>
      </c>
      <c r="I47">
        <v>23</v>
      </c>
      <c r="J47">
        <v>202311</v>
      </c>
      <c r="K47">
        <v>171.9</v>
      </c>
      <c r="L47">
        <v>16.95</v>
      </c>
      <c r="M47">
        <v>304.44</v>
      </c>
      <c r="N47" t="s">
        <v>14</v>
      </c>
    </row>
    <row r="48" spans="1:14" x14ac:dyDescent="0.25">
      <c r="A48">
        <v>104924</v>
      </c>
      <c r="B48" t="s">
        <v>16</v>
      </c>
      <c r="C48" t="s">
        <v>18</v>
      </c>
      <c r="D48" t="s">
        <v>15</v>
      </c>
      <c r="E48">
        <v>1</v>
      </c>
      <c r="F48" t="s">
        <v>17</v>
      </c>
      <c r="G48">
        <v>202605</v>
      </c>
      <c r="H48">
        <v>54</v>
      </c>
      <c r="I48">
        <v>24</v>
      </c>
      <c r="J48">
        <v>202311</v>
      </c>
      <c r="K48">
        <v>131.72999999999999</v>
      </c>
      <c r="L48">
        <v>12.69</v>
      </c>
      <c r="M48">
        <v>0</v>
      </c>
      <c r="N48" t="s">
        <v>14</v>
      </c>
    </row>
    <row r="49" spans="1:14" x14ac:dyDescent="0.25">
      <c r="A49">
        <v>104924</v>
      </c>
      <c r="B49" t="s">
        <v>16</v>
      </c>
      <c r="C49" t="s">
        <v>18</v>
      </c>
      <c r="D49" t="s">
        <v>15</v>
      </c>
      <c r="E49">
        <v>1</v>
      </c>
      <c r="F49" t="s">
        <v>17</v>
      </c>
      <c r="G49">
        <v>202605</v>
      </c>
      <c r="H49">
        <v>54</v>
      </c>
      <c r="I49">
        <v>24</v>
      </c>
      <c r="J49">
        <v>202312</v>
      </c>
      <c r="K49">
        <v>172.26</v>
      </c>
      <c r="L49">
        <v>16.600000000000001</v>
      </c>
      <c r="M49">
        <v>304.44</v>
      </c>
      <c r="N49" t="s">
        <v>14</v>
      </c>
    </row>
    <row r="50" spans="1:14" x14ac:dyDescent="0.25">
      <c r="A50">
        <v>104924</v>
      </c>
      <c r="B50" t="s">
        <v>16</v>
      </c>
      <c r="C50" t="s">
        <v>18</v>
      </c>
      <c r="D50" t="s">
        <v>15</v>
      </c>
      <c r="E50">
        <v>1</v>
      </c>
      <c r="F50" t="s">
        <v>17</v>
      </c>
      <c r="G50">
        <v>202605</v>
      </c>
      <c r="H50">
        <v>54</v>
      </c>
      <c r="I50">
        <v>25</v>
      </c>
      <c r="J50">
        <v>202312</v>
      </c>
      <c r="K50">
        <v>132.01</v>
      </c>
      <c r="L50">
        <v>12.42</v>
      </c>
      <c r="M50">
        <v>0</v>
      </c>
      <c r="N50" t="s">
        <v>14</v>
      </c>
    </row>
    <row r="51" spans="1:14" x14ac:dyDescent="0.25">
      <c r="A51">
        <v>104924</v>
      </c>
      <c r="B51" t="s">
        <v>16</v>
      </c>
      <c r="C51" t="s">
        <v>18</v>
      </c>
      <c r="D51" t="s">
        <v>15</v>
      </c>
      <c r="E51">
        <v>1</v>
      </c>
      <c r="F51" t="s">
        <v>17</v>
      </c>
      <c r="G51">
        <v>202605</v>
      </c>
      <c r="H51">
        <v>54</v>
      </c>
      <c r="I51">
        <v>25</v>
      </c>
      <c r="J51">
        <v>202401</v>
      </c>
      <c r="K51">
        <v>172.62</v>
      </c>
      <c r="L51">
        <v>16.23</v>
      </c>
      <c r="M51">
        <v>304.44</v>
      </c>
      <c r="N51" t="s">
        <v>14</v>
      </c>
    </row>
    <row r="52" spans="1:14" x14ac:dyDescent="0.25">
      <c r="A52">
        <v>104924</v>
      </c>
      <c r="B52" t="s">
        <v>16</v>
      </c>
      <c r="C52" t="s">
        <v>18</v>
      </c>
      <c r="D52" t="s">
        <v>15</v>
      </c>
      <c r="E52">
        <v>1</v>
      </c>
      <c r="F52" t="s">
        <v>17</v>
      </c>
      <c r="G52">
        <v>202605</v>
      </c>
      <c r="H52">
        <v>54</v>
      </c>
      <c r="I52">
        <v>26</v>
      </c>
      <c r="J52">
        <v>202401</v>
      </c>
      <c r="K52">
        <v>132.28</v>
      </c>
      <c r="L52">
        <v>12.14</v>
      </c>
      <c r="M52">
        <v>0</v>
      </c>
      <c r="N52" t="s">
        <v>14</v>
      </c>
    </row>
    <row r="53" spans="1:14" x14ac:dyDescent="0.25">
      <c r="A53">
        <v>104924</v>
      </c>
      <c r="B53" t="s">
        <v>16</v>
      </c>
      <c r="C53" t="s">
        <v>18</v>
      </c>
      <c r="D53" t="s">
        <v>15</v>
      </c>
      <c r="E53">
        <v>1</v>
      </c>
      <c r="F53" t="s">
        <v>17</v>
      </c>
      <c r="G53">
        <v>202605</v>
      </c>
      <c r="H53">
        <v>54</v>
      </c>
      <c r="I53">
        <v>26</v>
      </c>
      <c r="J53">
        <v>202402</v>
      </c>
      <c r="K53">
        <v>172.98</v>
      </c>
      <c r="L53">
        <v>15.88</v>
      </c>
      <c r="M53">
        <v>304.44</v>
      </c>
      <c r="N53" t="s">
        <v>14</v>
      </c>
    </row>
    <row r="54" spans="1:14" x14ac:dyDescent="0.25">
      <c r="A54">
        <v>104924</v>
      </c>
      <c r="B54" t="s">
        <v>16</v>
      </c>
      <c r="C54" t="s">
        <v>18</v>
      </c>
      <c r="D54" t="s">
        <v>15</v>
      </c>
      <c r="E54">
        <v>1</v>
      </c>
      <c r="F54" t="s">
        <v>17</v>
      </c>
      <c r="G54">
        <v>202605</v>
      </c>
      <c r="H54">
        <v>54</v>
      </c>
      <c r="I54">
        <v>27</v>
      </c>
      <c r="J54">
        <v>202402</v>
      </c>
      <c r="K54">
        <v>132.56</v>
      </c>
      <c r="L54">
        <v>11.86</v>
      </c>
      <c r="M54">
        <v>0</v>
      </c>
      <c r="N54" t="s">
        <v>14</v>
      </c>
    </row>
    <row r="55" spans="1:14" x14ac:dyDescent="0.25">
      <c r="A55">
        <v>104924</v>
      </c>
      <c r="B55" t="s">
        <v>16</v>
      </c>
      <c r="C55" t="s">
        <v>18</v>
      </c>
      <c r="D55" t="s">
        <v>15</v>
      </c>
      <c r="E55">
        <v>1</v>
      </c>
      <c r="F55" t="s">
        <v>17</v>
      </c>
      <c r="G55">
        <v>202605</v>
      </c>
      <c r="H55">
        <v>54</v>
      </c>
      <c r="I55">
        <v>27</v>
      </c>
      <c r="J55">
        <v>202403</v>
      </c>
      <c r="K55">
        <v>173.34</v>
      </c>
      <c r="L55">
        <v>15.52</v>
      </c>
      <c r="M55">
        <v>304.44</v>
      </c>
      <c r="N55" t="s">
        <v>14</v>
      </c>
    </row>
    <row r="56" spans="1:14" x14ac:dyDescent="0.25">
      <c r="A56">
        <v>104924</v>
      </c>
      <c r="B56" t="s">
        <v>16</v>
      </c>
      <c r="C56" t="s">
        <v>18</v>
      </c>
      <c r="D56" t="s">
        <v>15</v>
      </c>
      <c r="E56">
        <v>1</v>
      </c>
      <c r="F56" t="s">
        <v>17</v>
      </c>
      <c r="G56">
        <v>202605</v>
      </c>
      <c r="H56">
        <v>54</v>
      </c>
      <c r="I56">
        <v>28</v>
      </c>
      <c r="J56">
        <v>202403</v>
      </c>
      <c r="K56">
        <v>132.83000000000001</v>
      </c>
      <c r="L56">
        <v>11.59</v>
      </c>
      <c r="M56">
        <v>0</v>
      </c>
      <c r="N56" t="s">
        <v>14</v>
      </c>
    </row>
    <row r="57" spans="1:14" x14ac:dyDescent="0.25">
      <c r="A57">
        <v>104924</v>
      </c>
      <c r="B57" t="s">
        <v>16</v>
      </c>
      <c r="C57" t="s">
        <v>18</v>
      </c>
      <c r="D57" t="s">
        <v>15</v>
      </c>
      <c r="E57">
        <v>1</v>
      </c>
      <c r="F57" t="s">
        <v>17</v>
      </c>
      <c r="G57">
        <v>202605</v>
      </c>
      <c r="H57">
        <v>54</v>
      </c>
      <c r="I57">
        <v>28</v>
      </c>
      <c r="J57">
        <v>202404</v>
      </c>
      <c r="K57">
        <v>173.71</v>
      </c>
      <c r="L57">
        <v>15.15</v>
      </c>
      <c r="M57">
        <v>304.44</v>
      </c>
      <c r="N57" t="s">
        <v>14</v>
      </c>
    </row>
    <row r="58" spans="1:14" x14ac:dyDescent="0.25">
      <c r="A58">
        <v>104924</v>
      </c>
      <c r="B58" t="s">
        <v>16</v>
      </c>
      <c r="C58" t="s">
        <v>18</v>
      </c>
      <c r="D58" t="s">
        <v>15</v>
      </c>
      <c r="E58">
        <v>1</v>
      </c>
      <c r="F58" t="s">
        <v>17</v>
      </c>
      <c r="G58">
        <v>202605</v>
      </c>
      <c r="H58">
        <v>54</v>
      </c>
      <c r="I58">
        <v>29</v>
      </c>
      <c r="J58">
        <v>202404</v>
      </c>
      <c r="K58">
        <v>133.11000000000001</v>
      </c>
      <c r="L58">
        <v>11.31</v>
      </c>
      <c r="M58">
        <v>0</v>
      </c>
      <c r="N58" t="s">
        <v>14</v>
      </c>
    </row>
    <row r="59" spans="1:14" x14ac:dyDescent="0.25">
      <c r="A59">
        <v>104924</v>
      </c>
      <c r="B59" t="s">
        <v>16</v>
      </c>
      <c r="C59" t="s">
        <v>18</v>
      </c>
      <c r="D59" t="s">
        <v>15</v>
      </c>
      <c r="E59">
        <v>1</v>
      </c>
      <c r="F59" t="s">
        <v>17</v>
      </c>
      <c r="G59">
        <v>202605</v>
      </c>
      <c r="H59">
        <v>54</v>
      </c>
      <c r="I59">
        <v>29</v>
      </c>
      <c r="J59">
        <v>202405</v>
      </c>
      <c r="K59">
        <v>174.06</v>
      </c>
      <c r="L59">
        <v>14.8</v>
      </c>
      <c r="M59">
        <v>304.44</v>
      </c>
      <c r="N59" t="s">
        <v>14</v>
      </c>
    </row>
    <row r="60" spans="1:14" x14ac:dyDescent="0.25">
      <c r="A60">
        <v>104924</v>
      </c>
      <c r="B60" t="s">
        <v>16</v>
      </c>
      <c r="C60" t="s">
        <v>18</v>
      </c>
      <c r="D60" t="s">
        <v>15</v>
      </c>
      <c r="E60">
        <v>1</v>
      </c>
      <c r="F60" t="s">
        <v>17</v>
      </c>
      <c r="G60">
        <v>202605</v>
      </c>
      <c r="H60">
        <v>54</v>
      </c>
      <c r="I60">
        <v>30</v>
      </c>
      <c r="J60">
        <v>202405</v>
      </c>
      <c r="K60">
        <v>133.38</v>
      </c>
      <c r="L60">
        <v>11.04</v>
      </c>
      <c r="M60">
        <v>0</v>
      </c>
      <c r="N60" t="s">
        <v>14</v>
      </c>
    </row>
    <row r="61" spans="1:14" x14ac:dyDescent="0.25">
      <c r="A61">
        <v>104924</v>
      </c>
      <c r="B61" t="s">
        <v>16</v>
      </c>
      <c r="C61" t="s">
        <v>18</v>
      </c>
      <c r="D61" t="s">
        <v>15</v>
      </c>
      <c r="E61">
        <v>1</v>
      </c>
      <c r="F61" t="s">
        <v>17</v>
      </c>
      <c r="G61">
        <v>202605</v>
      </c>
      <c r="H61">
        <v>54</v>
      </c>
      <c r="I61">
        <v>30</v>
      </c>
      <c r="J61">
        <v>202406</v>
      </c>
      <c r="K61">
        <v>174.43</v>
      </c>
      <c r="L61">
        <v>14.43</v>
      </c>
      <c r="M61">
        <v>304.44</v>
      </c>
      <c r="N61" t="s">
        <v>14</v>
      </c>
    </row>
    <row r="62" spans="1:14" x14ac:dyDescent="0.25">
      <c r="A62">
        <v>104924</v>
      </c>
      <c r="B62" t="s">
        <v>16</v>
      </c>
      <c r="C62" t="s">
        <v>18</v>
      </c>
      <c r="D62" t="s">
        <v>15</v>
      </c>
      <c r="E62">
        <v>1</v>
      </c>
      <c r="F62" t="s">
        <v>17</v>
      </c>
      <c r="G62">
        <v>202605</v>
      </c>
      <c r="H62">
        <v>54</v>
      </c>
      <c r="I62">
        <v>31</v>
      </c>
      <c r="J62">
        <v>202406</v>
      </c>
      <c r="K62">
        <v>133.66999999999999</v>
      </c>
      <c r="L62">
        <v>10.76</v>
      </c>
      <c r="M62">
        <v>0</v>
      </c>
      <c r="N62" t="s">
        <v>14</v>
      </c>
    </row>
    <row r="63" spans="1:14" x14ac:dyDescent="0.25">
      <c r="A63">
        <v>104924</v>
      </c>
      <c r="B63" t="s">
        <v>16</v>
      </c>
      <c r="C63" t="s">
        <v>18</v>
      </c>
      <c r="D63" t="s">
        <v>15</v>
      </c>
      <c r="E63">
        <v>1</v>
      </c>
      <c r="F63" t="s">
        <v>17</v>
      </c>
      <c r="G63">
        <v>202605</v>
      </c>
      <c r="H63">
        <v>54</v>
      </c>
      <c r="I63">
        <v>31</v>
      </c>
      <c r="J63">
        <v>202407</v>
      </c>
      <c r="K63">
        <v>174.79</v>
      </c>
      <c r="L63">
        <v>14.06</v>
      </c>
      <c r="M63">
        <v>304.44</v>
      </c>
      <c r="N63" t="s">
        <v>14</v>
      </c>
    </row>
    <row r="64" spans="1:14" x14ac:dyDescent="0.25">
      <c r="A64">
        <v>104924</v>
      </c>
      <c r="B64" t="s">
        <v>16</v>
      </c>
      <c r="C64" t="s">
        <v>18</v>
      </c>
      <c r="D64" t="s">
        <v>15</v>
      </c>
      <c r="E64">
        <v>1</v>
      </c>
      <c r="F64" t="s">
        <v>17</v>
      </c>
      <c r="G64">
        <v>202605</v>
      </c>
      <c r="H64">
        <v>54</v>
      </c>
      <c r="I64">
        <v>32</v>
      </c>
      <c r="J64">
        <v>202407</v>
      </c>
      <c r="K64">
        <v>133.94</v>
      </c>
      <c r="L64">
        <v>10.48</v>
      </c>
      <c r="M64">
        <v>0</v>
      </c>
      <c r="N64" t="s">
        <v>14</v>
      </c>
    </row>
    <row r="65" spans="1:14" x14ac:dyDescent="0.25">
      <c r="A65">
        <v>104924</v>
      </c>
      <c r="B65" t="s">
        <v>16</v>
      </c>
      <c r="C65" t="s">
        <v>18</v>
      </c>
      <c r="D65" t="s">
        <v>15</v>
      </c>
      <c r="E65">
        <v>1</v>
      </c>
      <c r="F65" t="s">
        <v>17</v>
      </c>
      <c r="G65">
        <v>202605</v>
      </c>
      <c r="H65">
        <v>54</v>
      </c>
      <c r="I65">
        <v>32</v>
      </c>
      <c r="J65">
        <v>202408</v>
      </c>
      <c r="K65">
        <v>175.16</v>
      </c>
      <c r="L65">
        <v>13.7</v>
      </c>
      <c r="M65">
        <v>304.44</v>
      </c>
      <c r="N65" t="s">
        <v>14</v>
      </c>
    </row>
    <row r="66" spans="1:14" x14ac:dyDescent="0.25">
      <c r="A66">
        <v>104924</v>
      </c>
      <c r="B66" t="s">
        <v>16</v>
      </c>
      <c r="C66" t="s">
        <v>18</v>
      </c>
      <c r="D66" t="s">
        <v>15</v>
      </c>
      <c r="E66">
        <v>1</v>
      </c>
      <c r="F66" t="s">
        <v>17</v>
      </c>
      <c r="G66">
        <v>202605</v>
      </c>
      <c r="H66">
        <v>54</v>
      </c>
      <c r="I66">
        <v>33</v>
      </c>
      <c r="J66">
        <v>202408</v>
      </c>
      <c r="K66">
        <v>134.22</v>
      </c>
      <c r="L66">
        <v>10.199999999999999</v>
      </c>
      <c r="M66">
        <v>0</v>
      </c>
      <c r="N66" t="s">
        <v>14</v>
      </c>
    </row>
    <row r="67" spans="1:14" x14ac:dyDescent="0.25">
      <c r="A67">
        <v>104924</v>
      </c>
      <c r="B67" t="s">
        <v>16</v>
      </c>
      <c r="C67" t="s">
        <v>18</v>
      </c>
      <c r="D67" t="s">
        <v>15</v>
      </c>
      <c r="E67">
        <v>1</v>
      </c>
      <c r="F67" t="s">
        <v>17</v>
      </c>
      <c r="G67">
        <v>202605</v>
      </c>
      <c r="H67">
        <v>54</v>
      </c>
      <c r="I67">
        <v>33</v>
      </c>
      <c r="J67">
        <v>202409</v>
      </c>
      <c r="K67">
        <v>175.52</v>
      </c>
      <c r="L67">
        <v>13.34</v>
      </c>
      <c r="M67">
        <v>304.44</v>
      </c>
      <c r="N67" t="s">
        <v>14</v>
      </c>
    </row>
    <row r="68" spans="1:14" x14ac:dyDescent="0.25">
      <c r="A68">
        <v>104924</v>
      </c>
      <c r="B68" t="s">
        <v>16</v>
      </c>
      <c r="C68" t="s">
        <v>18</v>
      </c>
      <c r="D68" t="s">
        <v>15</v>
      </c>
      <c r="E68">
        <v>1</v>
      </c>
      <c r="F68" t="s">
        <v>17</v>
      </c>
      <c r="G68">
        <v>202605</v>
      </c>
      <c r="H68">
        <v>54</v>
      </c>
      <c r="I68">
        <v>34</v>
      </c>
      <c r="J68">
        <v>202409</v>
      </c>
      <c r="K68">
        <v>134.5</v>
      </c>
      <c r="L68">
        <v>9.92</v>
      </c>
      <c r="M68">
        <v>0</v>
      </c>
      <c r="N68" t="s">
        <v>14</v>
      </c>
    </row>
    <row r="69" spans="1:14" x14ac:dyDescent="0.25">
      <c r="A69">
        <v>104924</v>
      </c>
      <c r="B69" t="s">
        <v>16</v>
      </c>
      <c r="C69" t="s">
        <v>18</v>
      </c>
      <c r="D69" t="s">
        <v>15</v>
      </c>
      <c r="E69">
        <v>1</v>
      </c>
      <c r="F69" t="s">
        <v>17</v>
      </c>
      <c r="G69">
        <v>202605</v>
      </c>
      <c r="H69">
        <v>54</v>
      </c>
      <c r="I69">
        <v>34</v>
      </c>
      <c r="J69">
        <v>202410</v>
      </c>
      <c r="K69">
        <v>175.89</v>
      </c>
      <c r="L69">
        <v>12.97</v>
      </c>
      <c r="M69">
        <v>304.44</v>
      </c>
      <c r="N69" t="s">
        <v>14</v>
      </c>
    </row>
    <row r="70" spans="1:14" x14ac:dyDescent="0.25">
      <c r="A70">
        <v>104924</v>
      </c>
      <c r="B70" t="s">
        <v>16</v>
      </c>
      <c r="C70" t="s">
        <v>18</v>
      </c>
      <c r="D70" t="s">
        <v>15</v>
      </c>
      <c r="E70">
        <v>1</v>
      </c>
      <c r="F70" t="s">
        <v>17</v>
      </c>
      <c r="G70">
        <v>202605</v>
      </c>
      <c r="H70">
        <v>54</v>
      </c>
      <c r="I70">
        <v>35</v>
      </c>
      <c r="J70">
        <v>202410</v>
      </c>
      <c r="K70">
        <v>134.78</v>
      </c>
      <c r="L70">
        <v>9.64</v>
      </c>
      <c r="M70">
        <v>0</v>
      </c>
      <c r="N70" t="s">
        <v>14</v>
      </c>
    </row>
    <row r="71" spans="1:14" x14ac:dyDescent="0.25">
      <c r="A71">
        <v>104924</v>
      </c>
      <c r="B71" t="s">
        <v>16</v>
      </c>
      <c r="C71" t="s">
        <v>18</v>
      </c>
      <c r="D71" t="s">
        <v>15</v>
      </c>
      <c r="E71">
        <v>1</v>
      </c>
      <c r="F71" t="s">
        <v>17</v>
      </c>
      <c r="G71">
        <v>202605</v>
      </c>
      <c r="H71">
        <v>54</v>
      </c>
      <c r="I71">
        <v>35</v>
      </c>
      <c r="J71">
        <v>202411</v>
      </c>
      <c r="K71">
        <v>176.25</v>
      </c>
      <c r="L71">
        <v>12.61</v>
      </c>
      <c r="M71">
        <v>304.44</v>
      </c>
      <c r="N71" t="s">
        <v>14</v>
      </c>
    </row>
    <row r="72" spans="1:14" x14ac:dyDescent="0.25">
      <c r="A72">
        <v>104924</v>
      </c>
      <c r="B72" t="s">
        <v>16</v>
      </c>
      <c r="C72" t="s">
        <v>18</v>
      </c>
      <c r="D72" t="s">
        <v>15</v>
      </c>
      <c r="E72">
        <v>1</v>
      </c>
      <c r="F72" t="s">
        <v>17</v>
      </c>
      <c r="G72">
        <v>202605</v>
      </c>
      <c r="H72">
        <v>54</v>
      </c>
      <c r="I72">
        <v>36</v>
      </c>
      <c r="J72">
        <v>202411</v>
      </c>
      <c r="K72">
        <v>135.06</v>
      </c>
      <c r="L72">
        <v>9.36</v>
      </c>
      <c r="M72">
        <v>0</v>
      </c>
      <c r="N72" t="s">
        <v>14</v>
      </c>
    </row>
    <row r="73" spans="1:14" x14ac:dyDescent="0.25">
      <c r="A73">
        <v>104924</v>
      </c>
      <c r="B73" t="s">
        <v>16</v>
      </c>
      <c r="C73" t="s">
        <v>18</v>
      </c>
      <c r="D73" t="s">
        <v>15</v>
      </c>
      <c r="E73">
        <v>1</v>
      </c>
      <c r="F73" t="s">
        <v>17</v>
      </c>
      <c r="G73">
        <v>202605</v>
      </c>
      <c r="H73">
        <v>54</v>
      </c>
      <c r="I73">
        <v>36</v>
      </c>
      <c r="J73">
        <v>202412</v>
      </c>
      <c r="K73">
        <v>176.62</v>
      </c>
      <c r="L73">
        <v>12.24</v>
      </c>
      <c r="M73">
        <v>304.44</v>
      </c>
      <c r="N73" t="s">
        <v>14</v>
      </c>
    </row>
    <row r="74" spans="1:14" x14ac:dyDescent="0.25">
      <c r="A74">
        <v>104924</v>
      </c>
      <c r="B74" t="s">
        <v>16</v>
      </c>
      <c r="C74" t="s">
        <v>18</v>
      </c>
      <c r="D74" t="s">
        <v>15</v>
      </c>
      <c r="E74">
        <v>1</v>
      </c>
      <c r="F74" t="s">
        <v>17</v>
      </c>
      <c r="G74">
        <v>202605</v>
      </c>
      <c r="H74">
        <v>54</v>
      </c>
      <c r="I74">
        <v>37</v>
      </c>
      <c r="J74">
        <v>202412</v>
      </c>
      <c r="K74">
        <v>135.34</v>
      </c>
      <c r="L74">
        <v>9.08</v>
      </c>
      <c r="M74">
        <v>0</v>
      </c>
      <c r="N74" t="s">
        <v>14</v>
      </c>
    </row>
    <row r="75" spans="1:14" x14ac:dyDescent="0.25">
      <c r="A75">
        <v>104924</v>
      </c>
      <c r="B75" t="s">
        <v>16</v>
      </c>
      <c r="C75" t="s">
        <v>18</v>
      </c>
      <c r="D75" t="s">
        <v>15</v>
      </c>
      <c r="E75">
        <v>1</v>
      </c>
      <c r="F75" t="s">
        <v>17</v>
      </c>
      <c r="G75">
        <v>202605</v>
      </c>
      <c r="H75">
        <v>54</v>
      </c>
      <c r="I75">
        <v>37</v>
      </c>
      <c r="J75">
        <v>202501</v>
      </c>
      <c r="K75">
        <v>176.99</v>
      </c>
      <c r="L75">
        <v>11.87</v>
      </c>
      <c r="M75">
        <v>304.44</v>
      </c>
      <c r="N75" t="s">
        <v>14</v>
      </c>
    </row>
    <row r="76" spans="1:14" x14ac:dyDescent="0.25">
      <c r="A76">
        <v>104924</v>
      </c>
      <c r="B76" t="s">
        <v>16</v>
      </c>
      <c r="C76" t="s">
        <v>18</v>
      </c>
      <c r="D76" t="s">
        <v>15</v>
      </c>
      <c r="E76">
        <v>1</v>
      </c>
      <c r="F76" t="s">
        <v>17</v>
      </c>
      <c r="G76">
        <v>202605</v>
      </c>
      <c r="H76">
        <v>54</v>
      </c>
      <c r="I76">
        <v>38</v>
      </c>
      <c r="J76">
        <v>202501</v>
      </c>
      <c r="K76">
        <v>135.63</v>
      </c>
      <c r="L76">
        <v>8.8000000000000007</v>
      </c>
      <c r="M76">
        <v>0</v>
      </c>
      <c r="N76" t="s">
        <v>14</v>
      </c>
    </row>
    <row r="77" spans="1:14" x14ac:dyDescent="0.25">
      <c r="A77">
        <v>104924</v>
      </c>
      <c r="B77" t="s">
        <v>16</v>
      </c>
      <c r="C77" t="s">
        <v>18</v>
      </c>
      <c r="D77" t="s">
        <v>15</v>
      </c>
      <c r="E77">
        <v>1</v>
      </c>
      <c r="F77" t="s">
        <v>17</v>
      </c>
      <c r="G77">
        <v>202605</v>
      </c>
      <c r="H77">
        <v>54</v>
      </c>
      <c r="I77">
        <v>38</v>
      </c>
      <c r="J77">
        <v>202502</v>
      </c>
      <c r="K77">
        <v>177.35</v>
      </c>
      <c r="L77">
        <v>11.5</v>
      </c>
      <c r="M77">
        <v>304.44</v>
      </c>
      <c r="N77" t="s">
        <v>14</v>
      </c>
    </row>
    <row r="78" spans="1:14" x14ac:dyDescent="0.25">
      <c r="A78">
        <v>104924</v>
      </c>
      <c r="B78" t="s">
        <v>16</v>
      </c>
      <c r="C78" t="s">
        <v>18</v>
      </c>
      <c r="D78" t="s">
        <v>15</v>
      </c>
      <c r="E78">
        <v>1</v>
      </c>
      <c r="F78" t="s">
        <v>17</v>
      </c>
      <c r="G78">
        <v>202605</v>
      </c>
      <c r="H78">
        <v>54</v>
      </c>
      <c r="I78">
        <v>39</v>
      </c>
      <c r="J78">
        <v>202502</v>
      </c>
      <c r="K78">
        <v>135.91</v>
      </c>
      <c r="L78">
        <v>8.52</v>
      </c>
      <c r="M78">
        <v>0</v>
      </c>
      <c r="N78" t="s">
        <v>14</v>
      </c>
    </row>
    <row r="79" spans="1:14" x14ac:dyDescent="0.25">
      <c r="A79">
        <v>104924</v>
      </c>
      <c r="B79" t="s">
        <v>16</v>
      </c>
      <c r="C79" t="s">
        <v>18</v>
      </c>
      <c r="D79" t="s">
        <v>15</v>
      </c>
      <c r="E79">
        <v>1</v>
      </c>
      <c r="F79" t="s">
        <v>17</v>
      </c>
      <c r="G79">
        <v>202605</v>
      </c>
      <c r="H79">
        <v>54</v>
      </c>
      <c r="I79">
        <v>39</v>
      </c>
      <c r="J79">
        <v>202503</v>
      </c>
      <c r="K79">
        <v>177.72</v>
      </c>
      <c r="L79">
        <v>11.13</v>
      </c>
      <c r="M79">
        <v>304.44</v>
      </c>
      <c r="N79" t="s">
        <v>14</v>
      </c>
    </row>
    <row r="80" spans="1:14" x14ac:dyDescent="0.25">
      <c r="A80">
        <v>104924</v>
      </c>
      <c r="B80" t="s">
        <v>16</v>
      </c>
      <c r="C80" t="s">
        <v>18</v>
      </c>
      <c r="D80" t="s">
        <v>15</v>
      </c>
      <c r="E80">
        <v>1</v>
      </c>
      <c r="F80" t="s">
        <v>17</v>
      </c>
      <c r="G80">
        <v>202605</v>
      </c>
      <c r="H80">
        <v>54</v>
      </c>
      <c r="I80">
        <v>40</v>
      </c>
      <c r="J80">
        <v>202503</v>
      </c>
      <c r="K80">
        <v>136.19</v>
      </c>
      <c r="L80">
        <v>8.23</v>
      </c>
      <c r="M80">
        <v>0</v>
      </c>
      <c r="N80" t="s">
        <v>14</v>
      </c>
    </row>
    <row r="81" spans="1:14" x14ac:dyDescent="0.25">
      <c r="A81">
        <v>104924</v>
      </c>
      <c r="B81" t="s">
        <v>16</v>
      </c>
      <c r="C81" t="s">
        <v>18</v>
      </c>
      <c r="D81" t="s">
        <v>15</v>
      </c>
      <c r="E81">
        <v>1</v>
      </c>
      <c r="F81" t="s">
        <v>17</v>
      </c>
      <c r="G81">
        <v>202605</v>
      </c>
      <c r="H81">
        <v>54</v>
      </c>
      <c r="I81">
        <v>40</v>
      </c>
      <c r="J81">
        <v>202504</v>
      </c>
      <c r="K81">
        <v>178.1</v>
      </c>
      <c r="L81">
        <v>10.76</v>
      </c>
      <c r="M81">
        <v>304.44</v>
      </c>
      <c r="N81" t="s">
        <v>14</v>
      </c>
    </row>
    <row r="82" spans="1:14" x14ac:dyDescent="0.25">
      <c r="A82">
        <v>104924</v>
      </c>
      <c r="B82" t="s">
        <v>16</v>
      </c>
      <c r="C82" t="s">
        <v>18</v>
      </c>
      <c r="D82" t="s">
        <v>15</v>
      </c>
      <c r="E82">
        <v>1</v>
      </c>
      <c r="F82" t="s">
        <v>17</v>
      </c>
      <c r="G82">
        <v>202605</v>
      </c>
      <c r="H82">
        <v>54</v>
      </c>
      <c r="I82">
        <v>41</v>
      </c>
      <c r="J82">
        <v>202504</v>
      </c>
      <c r="K82">
        <v>136.47</v>
      </c>
      <c r="L82">
        <v>7.95</v>
      </c>
      <c r="M82">
        <v>0</v>
      </c>
      <c r="N82" t="s">
        <v>14</v>
      </c>
    </row>
    <row r="83" spans="1:14" x14ac:dyDescent="0.25">
      <c r="A83">
        <v>104924</v>
      </c>
      <c r="B83" t="s">
        <v>16</v>
      </c>
      <c r="C83" t="s">
        <v>18</v>
      </c>
      <c r="D83" t="s">
        <v>15</v>
      </c>
      <c r="E83">
        <v>1</v>
      </c>
      <c r="F83" t="s">
        <v>17</v>
      </c>
      <c r="G83">
        <v>202605</v>
      </c>
      <c r="H83">
        <v>54</v>
      </c>
      <c r="I83">
        <v>41</v>
      </c>
      <c r="J83">
        <v>202505</v>
      </c>
      <c r="K83">
        <v>178.47</v>
      </c>
      <c r="L83">
        <v>10.39</v>
      </c>
      <c r="M83">
        <v>304.44</v>
      </c>
      <c r="N83" t="s">
        <v>14</v>
      </c>
    </row>
    <row r="84" spans="1:14" x14ac:dyDescent="0.25">
      <c r="A84">
        <v>104924</v>
      </c>
      <c r="B84" t="s">
        <v>16</v>
      </c>
      <c r="C84" t="s">
        <v>18</v>
      </c>
      <c r="D84" t="s">
        <v>15</v>
      </c>
      <c r="E84">
        <v>1</v>
      </c>
      <c r="F84" t="s">
        <v>17</v>
      </c>
      <c r="G84">
        <v>202605</v>
      </c>
      <c r="H84">
        <v>54</v>
      </c>
      <c r="I84">
        <v>42</v>
      </c>
      <c r="J84">
        <v>202505</v>
      </c>
      <c r="K84">
        <v>136.76</v>
      </c>
      <c r="L84">
        <v>7.66</v>
      </c>
      <c r="M84">
        <v>0</v>
      </c>
      <c r="N84" t="s">
        <v>14</v>
      </c>
    </row>
    <row r="85" spans="1:14" x14ac:dyDescent="0.25">
      <c r="A85">
        <v>104924</v>
      </c>
      <c r="B85" t="s">
        <v>16</v>
      </c>
      <c r="C85" t="s">
        <v>18</v>
      </c>
      <c r="D85" t="s">
        <v>15</v>
      </c>
      <c r="E85">
        <v>1</v>
      </c>
      <c r="F85" t="s">
        <v>17</v>
      </c>
      <c r="G85">
        <v>202605</v>
      </c>
      <c r="H85">
        <v>54</v>
      </c>
      <c r="I85">
        <v>42</v>
      </c>
      <c r="J85">
        <v>202506</v>
      </c>
      <c r="K85">
        <v>178.84</v>
      </c>
      <c r="L85">
        <v>10.02</v>
      </c>
      <c r="M85">
        <v>304.44</v>
      </c>
      <c r="N85" t="s">
        <v>14</v>
      </c>
    </row>
    <row r="86" spans="1:14" x14ac:dyDescent="0.25">
      <c r="A86">
        <v>104924</v>
      </c>
      <c r="B86" t="s">
        <v>16</v>
      </c>
      <c r="C86" t="s">
        <v>18</v>
      </c>
      <c r="D86" t="s">
        <v>15</v>
      </c>
      <c r="E86">
        <v>1</v>
      </c>
      <c r="F86" t="s">
        <v>17</v>
      </c>
      <c r="G86">
        <v>202605</v>
      </c>
      <c r="H86">
        <v>54</v>
      </c>
      <c r="I86">
        <v>43</v>
      </c>
      <c r="J86">
        <v>202506</v>
      </c>
      <c r="K86">
        <v>137.05000000000001</v>
      </c>
      <c r="L86">
        <v>7.38</v>
      </c>
      <c r="M86">
        <v>0</v>
      </c>
      <c r="N86" t="s">
        <v>14</v>
      </c>
    </row>
    <row r="87" spans="1:14" x14ac:dyDescent="0.25">
      <c r="A87">
        <v>104924</v>
      </c>
      <c r="B87" t="s">
        <v>16</v>
      </c>
      <c r="C87" t="s">
        <v>18</v>
      </c>
      <c r="D87" t="s">
        <v>15</v>
      </c>
      <c r="E87">
        <v>1</v>
      </c>
      <c r="F87" t="s">
        <v>17</v>
      </c>
      <c r="G87">
        <v>202605</v>
      </c>
      <c r="H87">
        <v>54</v>
      </c>
      <c r="I87">
        <v>43</v>
      </c>
      <c r="J87">
        <v>202507</v>
      </c>
      <c r="K87">
        <v>179.21</v>
      </c>
      <c r="L87">
        <v>9.64</v>
      </c>
      <c r="M87">
        <v>304.44</v>
      </c>
      <c r="N87" t="s">
        <v>14</v>
      </c>
    </row>
    <row r="88" spans="1:14" x14ac:dyDescent="0.25">
      <c r="A88">
        <v>104924</v>
      </c>
      <c r="B88" t="s">
        <v>16</v>
      </c>
      <c r="C88" t="s">
        <v>18</v>
      </c>
      <c r="D88" t="s">
        <v>15</v>
      </c>
      <c r="E88">
        <v>1</v>
      </c>
      <c r="F88" t="s">
        <v>17</v>
      </c>
      <c r="G88">
        <v>202605</v>
      </c>
      <c r="H88">
        <v>54</v>
      </c>
      <c r="I88">
        <v>44</v>
      </c>
      <c r="J88">
        <v>202507</v>
      </c>
      <c r="K88">
        <v>137.33000000000001</v>
      </c>
      <c r="L88">
        <v>7.09</v>
      </c>
      <c r="M88">
        <v>0</v>
      </c>
      <c r="N88" t="s">
        <v>14</v>
      </c>
    </row>
    <row r="89" spans="1:14" x14ac:dyDescent="0.25">
      <c r="A89">
        <v>104924</v>
      </c>
      <c r="B89" t="s">
        <v>16</v>
      </c>
      <c r="C89" t="s">
        <v>18</v>
      </c>
      <c r="D89" t="s">
        <v>15</v>
      </c>
      <c r="E89">
        <v>1</v>
      </c>
      <c r="F89" t="s">
        <v>17</v>
      </c>
      <c r="G89">
        <v>202605</v>
      </c>
      <c r="H89">
        <v>54</v>
      </c>
      <c r="I89">
        <v>44</v>
      </c>
      <c r="J89">
        <v>202508</v>
      </c>
      <c r="K89">
        <v>179.59</v>
      </c>
      <c r="L89">
        <v>9.27</v>
      </c>
      <c r="M89">
        <v>304.44</v>
      </c>
      <c r="N89" t="s">
        <v>14</v>
      </c>
    </row>
    <row r="90" spans="1:14" x14ac:dyDescent="0.25">
      <c r="A90">
        <v>104924</v>
      </c>
      <c r="B90" t="s">
        <v>16</v>
      </c>
      <c r="C90" t="s">
        <v>18</v>
      </c>
      <c r="D90" t="s">
        <v>15</v>
      </c>
      <c r="E90">
        <v>1</v>
      </c>
      <c r="F90" t="s">
        <v>17</v>
      </c>
      <c r="G90">
        <v>202605</v>
      </c>
      <c r="H90">
        <v>54</v>
      </c>
      <c r="I90">
        <v>45</v>
      </c>
      <c r="J90">
        <v>202508</v>
      </c>
      <c r="K90">
        <v>137.62</v>
      </c>
      <c r="L90">
        <v>6.8</v>
      </c>
      <c r="M90">
        <v>0</v>
      </c>
      <c r="N90" t="s">
        <v>14</v>
      </c>
    </row>
    <row r="91" spans="1:14" x14ac:dyDescent="0.25">
      <c r="A91">
        <v>104924</v>
      </c>
      <c r="B91" t="s">
        <v>16</v>
      </c>
      <c r="C91" t="s">
        <v>18</v>
      </c>
      <c r="D91" t="s">
        <v>15</v>
      </c>
      <c r="E91">
        <v>1</v>
      </c>
      <c r="F91" t="s">
        <v>17</v>
      </c>
      <c r="G91">
        <v>202605</v>
      </c>
      <c r="H91">
        <v>54</v>
      </c>
      <c r="I91">
        <v>45</v>
      </c>
      <c r="J91">
        <v>202509</v>
      </c>
      <c r="K91">
        <v>179.96</v>
      </c>
      <c r="L91">
        <v>8.9</v>
      </c>
      <c r="M91">
        <v>304.44</v>
      </c>
      <c r="N91" t="s">
        <v>14</v>
      </c>
    </row>
    <row r="92" spans="1:14" x14ac:dyDescent="0.25">
      <c r="A92">
        <v>104924</v>
      </c>
      <c r="B92" t="s">
        <v>16</v>
      </c>
      <c r="C92" t="s">
        <v>18</v>
      </c>
      <c r="D92" t="s">
        <v>15</v>
      </c>
      <c r="E92">
        <v>1</v>
      </c>
      <c r="F92" t="s">
        <v>17</v>
      </c>
      <c r="G92">
        <v>202605</v>
      </c>
      <c r="H92">
        <v>54</v>
      </c>
      <c r="I92">
        <v>46</v>
      </c>
      <c r="J92">
        <v>202509</v>
      </c>
      <c r="K92">
        <v>137.9</v>
      </c>
      <c r="L92">
        <v>6.52</v>
      </c>
      <c r="M92">
        <v>0</v>
      </c>
      <c r="N92" t="s">
        <v>14</v>
      </c>
    </row>
    <row r="93" spans="1:14" x14ac:dyDescent="0.25">
      <c r="A93">
        <v>104924</v>
      </c>
      <c r="B93" t="s">
        <v>16</v>
      </c>
      <c r="C93" t="s">
        <v>18</v>
      </c>
      <c r="D93" t="s">
        <v>15</v>
      </c>
      <c r="E93">
        <v>1</v>
      </c>
      <c r="F93" t="s">
        <v>17</v>
      </c>
      <c r="G93">
        <v>202605</v>
      </c>
      <c r="H93">
        <v>54</v>
      </c>
      <c r="I93">
        <v>46</v>
      </c>
      <c r="J93">
        <v>202510</v>
      </c>
      <c r="K93">
        <v>180.34</v>
      </c>
      <c r="L93">
        <v>8.52</v>
      </c>
      <c r="M93">
        <v>304.44</v>
      </c>
      <c r="N93" t="s">
        <v>14</v>
      </c>
    </row>
    <row r="94" spans="1:14" x14ac:dyDescent="0.25">
      <c r="A94">
        <v>104924</v>
      </c>
      <c r="B94" t="s">
        <v>16</v>
      </c>
      <c r="C94" t="s">
        <v>18</v>
      </c>
      <c r="D94" t="s">
        <v>15</v>
      </c>
      <c r="E94">
        <v>1</v>
      </c>
      <c r="F94" t="s">
        <v>17</v>
      </c>
      <c r="G94">
        <v>202605</v>
      </c>
      <c r="H94">
        <v>54</v>
      </c>
      <c r="I94">
        <v>47</v>
      </c>
      <c r="J94">
        <v>202510</v>
      </c>
      <c r="K94">
        <v>138.19</v>
      </c>
      <c r="L94">
        <v>6.23</v>
      </c>
      <c r="M94">
        <v>0</v>
      </c>
      <c r="N94" t="s">
        <v>14</v>
      </c>
    </row>
    <row r="95" spans="1:14" x14ac:dyDescent="0.25">
      <c r="A95">
        <v>104924</v>
      </c>
      <c r="B95" t="s">
        <v>16</v>
      </c>
      <c r="C95" t="s">
        <v>18</v>
      </c>
      <c r="D95" t="s">
        <v>15</v>
      </c>
      <c r="E95">
        <v>1</v>
      </c>
      <c r="F95" t="s">
        <v>17</v>
      </c>
      <c r="G95">
        <v>202605</v>
      </c>
      <c r="H95">
        <v>54</v>
      </c>
      <c r="I95">
        <v>47</v>
      </c>
      <c r="J95">
        <v>202511</v>
      </c>
      <c r="K95">
        <v>180.71</v>
      </c>
      <c r="L95">
        <v>8.15</v>
      </c>
      <c r="M95">
        <v>304.32</v>
      </c>
      <c r="N95" t="s">
        <v>14</v>
      </c>
    </row>
    <row r="96" spans="1:14" x14ac:dyDescent="0.25">
      <c r="A96">
        <v>104924</v>
      </c>
      <c r="B96" t="s">
        <v>16</v>
      </c>
      <c r="C96" t="s">
        <v>18</v>
      </c>
      <c r="D96" t="s">
        <v>15</v>
      </c>
      <c r="E96">
        <v>1</v>
      </c>
      <c r="F96" t="s">
        <v>17</v>
      </c>
      <c r="G96">
        <v>202605</v>
      </c>
      <c r="H96">
        <v>54</v>
      </c>
      <c r="I96">
        <v>48</v>
      </c>
      <c r="J96">
        <v>202511</v>
      </c>
      <c r="K96">
        <v>138.49</v>
      </c>
      <c r="L96">
        <v>5.93</v>
      </c>
      <c r="M96">
        <v>0</v>
      </c>
      <c r="N96" t="s">
        <v>14</v>
      </c>
    </row>
    <row r="97" spans="1:14" x14ac:dyDescent="0.25">
      <c r="A97">
        <v>104924</v>
      </c>
      <c r="B97" t="s">
        <v>16</v>
      </c>
      <c r="C97" t="s">
        <v>18</v>
      </c>
      <c r="D97" t="s">
        <v>15</v>
      </c>
      <c r="E97">
        <v>1</v>
      </c>
      <c r="F97" t="s">
        <v>17</v>
      </c>
      <c r="G97">
        <v>202605</v>
      </c>
      <c r="H97">
        <v>54</v>
      </c>
      <c r="I97">
        <v>48</v>
      </c>
      <c r="J97">
        <v>202512</v>
      </c>
      <c r="K97">
        <v>181.1</v>
      </c>
      <c r="L97">
        <v>7.76</v>
      </c>
      <c r="M97">
        <v>0</v>
      </c>
      <c r="N97" t="s">
        <v>14</v>
      </c>
    </row>
    <row r="98" spans="1:14" x14ac:dyDescent="0.25">
      <c r="A98">
        <v>104924</v>
      </c>
      <c r="B98" t="s">
        <v>16</v>
      </c>
      <c r="C98" t="s">
        <v>18</v>
      </c>
      <c r="D98" t="s">
        <v>15</v>
      </c>
      <c r="E98">
        <v>1</v>
      </c>
      <c r="F98" t="s">
        <v>17</v>
      </c>
      <c r="G98">
        <v>202605</v>
      </c>
      <c r="H98">
        <v>54</v>
      </c>
      <c r="I98">
        <v>49</v>
      </c>
      <c r="J98">
        <v>202512</v>
      </c>
      <c r="K98">
        <v>257.83</v>
      </c>
      <c r="L98">
        <v>0</v>
      </c>
      <c r="M98">
        <v>626.29999999999995</v>
      </c>
      <c r="N98" t="s">
        <v>14</v>
      </c>
    </row>
    <row r="99" spans="1:14" x14ac:dyDescent="0.25">
      <c r="A99">
        <v>104924</v>
      </c>
      <c r="B99" t="s">
        <v>16</v>
      </c>
      <c r="C99" t="s">
        <v>18</v>
      </c>
      <c r="D99" t="s">
        <v>15</v>
      </c>
      <c r="E99">
        <v>1</v>
      </c>
      <c r="F99" t="s">
        <v>17</v>
      </c>
      <c r="G99">
        <v>202605</v>
      </c>
      <c r="H99">
        <v>54</v>
      </c>
      <c r="I99">
        <v>49</v>
      </c>
      <c r="J99">
        <v>202601</v>
      </c>
      <c r="K99">
        <v>337.17</v>
      </c>
      <c r="L99">
        <v>0</v>
      </c>
      <c r="M99">
        <v>0</v>
      </c>
      <c r="N99" t="s">
        <v>14</v>
      </c>
    </row>
    <row r="100" spans="1:14" x14ac:dyDescent="0.25">
      <c r="A100">
        <v>104924</v>
      </c>
      <c r="B100" t="s">
        <v>16</v>
      </c>
      <c r="C100" t="s">
        <v>18</v>
      </c>
      <c r="D100" t="s">
        <v>15</v>
      </c>
      <c r="E100">
        <v>1</v>
      </c>
      <c r="F100" t="s">
        <v>17</v>
      </c>
      <c r="G100">
        <v>202605</v>
      </c>
      <c r="H100">
        <v>54</v>
      </c>
      <c r="I100">
        <v>50</v>
      </c>
      <c r="J100">
        <v>202601</v>
      </c>
      <c r="K100">
        <v>257.83</v>
      </c>
      <c r="L100">
        <v>0</v>
      </c>
      <c r="M100">
        <v>0</v>
      </c>
      <c r="N100" t="s">
        <v>14</v>
      </c>
    </row>
    <row r="101" spans="1:14" x14ac:dyDescent="0.25">
      <c r="A101">
        <v>104924</v>
      </c>
      <c r="B101" t="s">
        <v>16</v>
      </c>
      <c r="C101" t="s">
        <v>18</v>
      </c>
      <c r="D101" t="s">
        <v>15</v>
      </c>
      <c r="E101">
        <v>1</v>
      </c>
      <c r="F101" t="s">
        <v>17</v>
      </c>
      <c r="G101">
        <v>202605</v>
      </c>
      <c r="H101">
        <v>54</v>
      </c>
      <c r="I101">
        <v>50</v>
      </c>
      <c r="J101">
        <v>202602</v>
      </c>
      <c r="K101">
        <v>337.17</v>
      </c>
      <c r="L101">
        <v>0</v>
      </c>
      <c r="M101">
        <v>0</v>
      </c>
      <c r="N101" t="s">
        <v>14</v>
      </c>
    </row>
    <row r="102" spans="1:14" x14ac:dyDescent="0.25">
      <c r="A102">
        <v>104924</v>
      </c>
      <c r="B102" t="s">
        <v>16</v>
      </c>
      <c r="C102" t="s">
        <v>18</v>
      </c>
      <c r="D102" t="s">
        <v>15</v>
      </c>
      <c r="E102">
        <v>1</v>
      </c>
      <c r="F102" t="s">
        <v>17</v>
      </c>
      <c r="G102">
        <v>202605</v>
      </c>
      <c r="H102">
        <v>54</v>
      </c>
      <c r="I102">
        <v>51</v>
      </c>
      <c r="J102">
        <v>202602</v>
      </c>
      <c r="K102">
        <v>257.83</v>
      </c>
      <c r="L102">
        <v>0</v>
      </c>
      <c r="M102">
        <v>0</v>
      </c>
      <c r="N102" t="s">
        <v>14</v>
      </c>
    </row>
    <row r="103" spans="1:14" x14ac:dyDescent="0.25">
      <c r="A103">
        <v>104924</v>
      </c>
      <c r="B103" t="s">
        <v>16</v>
      </c>
      <c r="C103" t="s">
        <v>18</v>
      </c>
      <c r="D103" t="s">
        <v>15</v>
      </c>
      <c r="E103">
        <v>1</v>
      </c>
      <c r="F103" t="s">
        <v>17</v>
      </c>
      <c r="G103">
        <v>202605</v>
      </c>
      <c r="H103">
        <v>54</v>
      </c>
      <c r="I103">
        <v>51</v>
      </c>
      <c r="J103">
        <v>202603</v>
      </c>
      <c r="K103">
        <v>337.17</v>
      </c>
      <c r="L103">
        <v>0</v>
      </c>
      <c r="M103">
        <v>0</v>
      </c>
      <c r="N103" t="s">
        <v>14</v>
      </c>
    </row>
    <row r="104" spans="1:14" x14ac:dyDescent="0.25">
      <c r="A104">
        <v>104924</v>
      </c>
      <c r="B104" t="s">
        <v>16</v>
      </c>
      <c r="C104" t="s">
        <v>18</v>
      </c>
      <c r="D104" t="s">
        <v>15</v>
      </c>
      <c r="E104">
        <v>1</v>
      </c>
      <c r="F104" t="s">
        <v>17</v>
      </c>
      <c r="G104">
        <v>202605</v>
      </c>
      <c r="H104">
        <v>54</v>
      </c>
      <c r="I104">
        <v>52</v>
      </c>
      <c r="J104">
        <v>202603</v>
      </c>
      <c r="K104">
        <v>257.83</v>
      </c>
      <c r="L104">
        <v>0</v>
      </c>
      <c r="M104">
        <v>0</v>
      </c>
      <c r="N104" t="s">
        <v>14</v>
      </c>
    </row>
    <row r="105" spans="1:14" x14ac:dyDescent="0.25">
      <c r="A105">
        <v>104924</v>
      </c>
      <c r="B105" t="s">
        <v>16</v>
      </c>
      <c r="C105" t="s">
        <v>18</v>
      </c>
      <c r="D105" t="s">
        <v>15</v>
      </c>
      <c r="E105">
        <v>1</v>
      </c>
      <c r="F105" t="s">
        <v>17</v>
      </c>
      <c r="G105">
        <v>202605</v>
      </c>
      <c r="H105">
        <v>54</v>
      </c>
      <c r="I105">
        <v>52</v>
      </c>
      <c r="J105">
        <v>202604</v>
      </c>
      <c r="K105">
        <v>337.17</v>
      </c>
      <c r="L105">
        <v>0</v>
      </c>
      <c r="M105">
        <v>0</v>
      </c>
      <c r="N105" t="s">
        <v>14</v>
      </c>
    </row>
    <row r="106" spans="1:14" x14ac:dyDescent="0.25">
      <c r="A106">
        <v>104924</v>
      </c>
      <c r="B106" t="s">
        <v>16</v>
      </c>
      <c r="C106" t="s">
        <v>18</v>
      </c>
      <c r="D106" t="s">
        <v>15</v>
      </c>
      <c r="E106">
        <v>1</v>
      </c>
      <c r="F106" t="s">
        <v>17</v>
      </c>
      <c r="G106">
        <v>202605</v>
      </c>
      <c r="H106">
        <v>54</v>
      </c>
      <c r="I106">
        <v>53</v>
      </c>
      <c r="J106">
        <v>202604</v>
      </c>
      <c r="K106">
        <v>257.83</v>
      </c>
      <c r="L106">
        <v>0</v>
      </c>
      <c r="M106">
        <v>0</v>
      </c>
      <c r="N106" t="s">
        <v>14</v>
      </c>
    </row>
    <row r="107" spans="1:14" x14ac:dyDescent="0.25">
      <c r="A107">
        <v>104924</v>
      </c>
      <c r="B107" t="s">
        <v>16</v>
      </c>
      <c r="C107" t="s">
        <v>18</v>
      </c>
      <c r="D107" t="s">
        <v>15</v>
      </c>
      <c r="E107">
        <v>1</v>
      </c>
      <c r="F107" t="s">
        <v>17</v>
      </c>
      <c r="G107">
        <v>202605</v>
      </c>
      <c r="H107">
        <v>54</v>
      </c>
      <c r="I107">
        <v>53</v>
      </c>
      <c r="J107">
        <v>202605</v>
      </c>
      <c r="K107">
        <v>337.17</v>
      </c>
      <c r="L107">
        <v>0</v>
      </c>
      <c r="M107">
        <v>0</v>
      </c>
      <c r="N107" t="s">
        <v>14</v>
      </c>
    </row>
    <row r="108" spans="1:14" x14ac:dyDescent="0.25">
      <c r="A108">
        <v>104924</v>
      </c>
      <c r="B108" t="s">
        <v>16</v>
      </c>
      <c r="C108" t="s">
        <v>18</v>
      </c>
      <c r="D108" t="s">
        <v>15</v>
      </c>
      <c r="E108">
        <v>1</v>
      </c>
      <c r="F108" t="s">
        <v>17</v>
      </c>
      <c r="G108">
        <v>202605</v>
      </c>
      <c r="H108">
        <v>54</v>
      </c>
      <c r="I108">
        <v>54</v>
      </c>
      <c r="J108">
        <v>202605</v>
      </c>
      <c r="K108">
        <v>257.83</v>
      </c>
      <c r="L108">
        <v>0</v>
      </c>
      <c r="M108">
        <v>0</v>
      </c>
      <c r="N108" t="s">
        <v>14</v>
      </c>
    </row>
    <row r="109" spans="1:14" x14ac:dyDescent="0.25">
      <c r="A109">
        <v>104924</v>
      </c>
      <c r="B109" t="s">
        <v>16</v>
      </c>
      <c r="C109" t="s">
        <v>18</v>
      </c>
      <c r="D109" t="s">
        <v>15</v>
      </c>
      <c r="E109">
        <v>1</v>
      </c>
      <c r="F109" t="s">
        <v>17</v>
      </c>
      <c r="G109">
        <v>202605</v>
      </c>
      <c r="H109">
        <v>54</v>
      </c>
      <c r="I109">
        <v>54</v>
      </c>
      <c r="J109">
        <v>202606</v>
      </c>
      <c r="K109">
        <v>337.17</v>
      </c>
      <c r="L109">
        <v>0</v>
      </c>
      <c r="M109">
        <v>0</v>
      </c>
      <c r="N109" t="s">
        <v>14</v>
      </c>
    </row>
    <row r="110" spans="1:14" x14ac:dyDescent="0.25">
      <c r="A110">
        <v>104924</v>
      </c>
      <c r="B110" t="s">
        <v>16</v>
      </c>
      <c r="C110" t="s">
        <v>18</v>
      </c>
      <c r="D110" t="s">
        <v>15</v>
      </c>
      <c r="E110">
        <v>1</v>
      </c>
      <c r="F110" t="s">
        <v>17</v>
      </c>
      <c r="G110">
        <v>202605</v>
      </c>
      <c r="H110">
        <v>54</v>
      </c>
      <c r="I110">
        <v>55</v>
      </c>
      <c r="J110">
        <v>202606</v>
      </c>
      <c r="K110">
        <v>257.83</v>
      </c>
      <c r="L110">
        <v>0</v>
      </c>
      <c r="M110">
        <v>0</v>
      </c>
      <c r="N110" t="s">
        <v>14</v>
      </c>
    </row>
    <row r="111" spans="1:14" x14ac:dyDescent="0.25">
      <c r="A111">
        <v>104924</v>
      </c>
      <c r="B111" t="s">
        <v>16</v>
      </c>
      <c r="C111" t="s">
        <v>18</v>
      </c>
      <c r="D111" t="s">
        <v>15</v>
      </c>
      <c r="E111">
        <v>1</v>
      </c>
      <c r="F111" t="s">
        <v>17</v>
      </c>
      <c r="G111">
        <v>202605</v>
      </c>
      <c r="H111">
        <v>54</v>
      </c>
      <c r="I111">
        <v>55</v>
      </c>
      <c r="J111">
        <v>202607</v>
      </c>
      <c r="K111">
        <v>337.17</v>
      </c>
      <c r="L111">
        <v>0</v>
      </c>
      <c r="M111">
        <v>0</v>
      </c>
      <c r="N111" t="s">
        <v>14</v>
      </c>
    </row>
    <row r="112" spans="1:14" x14ac:dyDescent="0.25">
      <c r="A112">
        <v>104924</v>
      </c>
      <c r="B112" t="s">
        <v>16</v>
      </c>
      <c r="C112" t="s">
        <v>18</v>
      </c>
      <c r="D112" t="s">
        <v>15</v>
      </c>
      <c r="E112">
        <v>1</v>
      </c>
      <c r="F112" t="s">
        <v>17</v>
      </c>
      <c r="G112">
        <v>202605</v>
      </c>
      <c r="H112">
        <v>54</v>
      </c>
      <c r="I112">
        <v>56</v>
      </c>
      <c r="J112">
        <v>202607</v>
      </c>
      <c r="K112">
        <v>257.83</v>
      </c>
      <c r="L112">
        <v>0</v>
      </c>
      <c r="M112">
        <v>0</v>
      </c>
      <c r="N112" t="s">
        <v>14</v>
      </c>
    </row>
    <row r="113" spans="1:14" x14ac:dyDescent="0.25">
      <c r="A113">
        <v>104924</v>
      </c>
      <c r="B113" t="s">
        <v>16</v>
      </c>
      <c r="C113" t="s">
        <v>18</v>
      </c>
      <c r="D113" t="s">
        <v>15</v>
      </c>
      <c r="E113">
        <v>1</v>
      </c>
      <c r="F113" t="s">
        <v>17</v>
      </c>
      <c r="G113">
        <v>202605</v>
      </c>
      <c r="H113">
        <v>54</v>
      </c>
      <c r="I113">
        <v>56</v>
      </c>
      <c r="J113">
        <v>202608</v>
      </c>
      <c r="K113">
        <v>337.17</v>
      </c>
      <c r="L113">
        <v>0</v>
      </c>
      <c r="M113">
        <v>0</v>
      </c>
      <c r="N113" t="s">
        <v>14</v>
      </c>
    </row>
    <row r="114" spans="1:14" x14ac:dyDescent="0.25">
      <c r="A114">
        <v>104924</v>
      </c>
      <c r="B114" t="s">
        <v>16</v>
      </c>
      <c r="C114" t="s">
        <v>18</v>
      </c>
      <c r="D114" t="s">
        <v>15</v>
      </c>
      <c r="E114">
        <v>1</v>
      </c>
      <c r="F114" t="s">
        <v>17</v>
      </c>
      <c r="G114">
        <v>202605</v>
      </c>
      <c r="H114">
        <v>54</v>
      </c>
      <c r="I114">
        <v>57</v>
      </c>
      <c r="J114">
        <v>202608</v>
      </c>
      <c r="K114">
        <v>257.83</v>
      </c>
      <c r="L114">
        <v>0</v>
      </c>
      <c r="M114">
        <v>0</v>
      </c>
      <c r="N114" t="s">
        <v>14</v>
      </c>
    </row>
    <row r="115" spans="1:14" x14ac:dyDescent="0.25">
      <c r="A115">
        <v>104924</v>
      </c>
      <c r="B115" t="s">
        <v>16</v>
      </c>
      <c r="C115" t="s">
        <v>18</v>
      </c>
      <c r="D115" t="s">
        <v>15</v>
      </c>
      <c r="E115">
        <v>1</v>
      </c>
      <c r="F115" t="s">
        <v>17</v>
      </c>
      <c r="G115">
        <v>202605</v>
      </c>
      <c r="H115">
        <v>54</v>
      </c>
      <c r="I115">
        <v>57</v>
      </c>
      <c r="J115">
        <v>202609</v>
      </c>
      <c r="K115">
        <v>337.17</v>
      </c>
      <c r="L115">
        <v>0</v>
      </c>
      <c r="M115">
        <v>0</v>
      </c>
      <c r="N115" t="s">
        <v>14</v>
      </c>
    </row>
    <row r="116" spans="1:14" x14ac:dyDescent="0.25">
      <c r="A116">
        <v>104924</v>
      </c>
      <c r="B116" t="s">
        <v>16</v>
      </c>
      <c r="C116" t="s">
        <v>18</v>
      </c>
      <c r="D116" t="s">
        <v>15</v>
      </c>
      <c r="E116">
        <v>1</v>
      </c>
      <c r="F116" t="s">
        <v>17</v>
      </c>
      <c r="G116">
        <v>202605</v>
      </c>
      <c r="H116">
        <v>54</v>
      </c>
      <c r="I116">
        <v>58</v>
      </c>
      <c r="J116">
        <v>202609</v>
      </c>
      <c r="K116">
        <v>257.83</v>
      </c>
      <c r="L116">
        <v>0</v>
      </c>
      <c r="M116">
        <v>0</v>
      </c>
      <c r="N116" t="s">
        <v>14</v>
      </c>
    </row>
    <row r="117" spans="1:14" x14ac:dyDescent="0.25">
      <c r="A117">
        <v>104924</v>
      </c>
      <c r="B117" t="s">
        <v>16</v>
      </c>
      <c r="C117" t="s">
        <v>18</v>
      </c>
      <c r="D117" t="s">
        <v>15</v>
      </c>
      <c r="E117">
        <v>1</v>
      </c>
      <c r="F117" t="s">
        <v>17</v>
      </c>
      <c r="G117">
        <v>202605</v>
      </c>
      <c r="H117">
        <v>54</v>
      </c>
      <c r="I117">
        <v>58</v>
      </c>
      <c r="J117">
        <v>202610</v>
      </c>
      <c r="K117">
        <v>337.17</v>
      </c>
      <c r="L117">
        <v>0</v>
      </c>
      <c r="M117">
        <v>0</v>
      </c>
      <c r="N117" t="s">
        <v>14</v>
      </c>
    </row>
    <row r="118" spans="1:14" x14ac:dyDescent="0.25">
      <c r="A118">
        <v>104924</v>
      </c>
      <c r="B118" t="s">
        <v>16</v>
      </c>
      <c r="C118" t="s">
        <v>18</v>
      </c>
      <c r="D118" t="s">
        <v>15</v>
      </c>
      <c r="E118">
        <v>1</v>
      </c>
      <c r="F118" t="s">
        <v>17</v>
      </c>
      <c r="G118">
        <v>202605</v>
      </c>
      <c r="H118">
        <v>54</v>
      </c>
      <c r="I118">
        <v>59</v>
      </c>
      <c r="J118">
        <v>202610</v>
      </c>
      <c r="K118">
        <v>257.83</v>
      </c>
      <c r="L118">
        <v>0</v>
      </c>
      <c r="M118">
        <v>0</v>
      </c>
      <c r="N118" t="s">
        <v>14</v>
      </c>
    </row>
    <row r="119" spans="1:14" x14ac:dyDescent="0.25">
      <c r="A119">
        <v>104924</v>
      </c>
      <c r="B119" t="s">
        <v>16</v>
      </c>
      <c r="C119" t="s">
        <v>18</v>
      </c>
      <c r="D119" t="s">
        <v>15</v>
      </c>
      <c r="E119">
        <v>1</v>
      </c>
      <c r="F119" t="s">
        <v>17</v>
      </c>
      <c r="G119">
        <v>202605</v>
      </c>
      <c r="H119">
        <v>54</v>
      </c>
      <c r="I119">
        <v>59</v>
      </c>
      <c r="J119">
        <v>202611</v>
      </c>
      <c r="K119">
        <v>55.17</v>
      </c>
      <c r="L119">
        <v>282</v>
      </c>
      <c r="M119">
        <v>0</v>
      </c>
      <c r="N119" t="s">
        <v>14</v>
      </c>
    </row>
    <row r="120" spans="1:14" x14ac:dyDescent="0.25">
      <c r="A120">
        <v>104924</v>
      </c>
      <c r="B120" t="s">
        <v>16</v>
      </c>
      <c r="C120" t="s">
        <v>18</v>
      </c>
      <c r="D120" t="s">
        <v>15</v>
      </c>
      <c r="E120">
        <v>1</v>
      </c>
      <c r="F120" t="s">
        <v>17</v>
      </c>
      <c r="G120">
        <v>202605</v>
      </c>
      <c r="H120">
        <v>54</v>
      </c>
      <c r="I120">
        <v>60</v>
      </c>
      <c r="J120">
        <v>202611</v>
      </c>
      <c r="K120">
        <v>0</v>
      </c>
      <c r="L120">
        <v>257.83</v>
      </c>
      <c r="M120">
        <v>0</v>
      </c>
      <c r="N120" t="s">
        <v>14</v>
      </c>
    </row>
    <row r="121" spans="1:14" x14ac:dyDescent="0.25">
      <c r="A121">
        <v>104924</v>
      </c>
      <c r="B121" t="s">
        <v>16</v>
      </c>
      <c r="C121" t="s">
        <v>18</v>
      </c>
      <c r="D121" t="s">
        <v>15</v>
      </c>
      <c r="E121">
        <v>1</v>
      </c>
      <c r="F121" t="s">
        <v>17</v>
      </c>
      <c r="G121">
        <v>202605</v>
      </c>
      <c r="H121">
        <v>54</v>
      </c>
      <c r="I121">
        <v>60</v>
      </c>
      <c r="J121">
        <v>202612</v>
      </c>
      <c r="K121">
        <v>0</v>
      </c>
      <c r="L121">
        <v>337.17</v>
      </c>
      <c r="M121">
        <v>0</v>
      </c>
      <c r="N121" t="s">
        <v>14</v>
      </c>
    </row>
    <row r="122" spans="1:14" x14ac:dyDescent="0.25">
      <c r="K122">
        <f>SUM(K2:K121)</f>
        <v>20875.999999999996</v>
      </c>
      <c r="L122">
        <f>SUM(L2:L121)</f>
        <v>2261.44</v>
      </c>
      <c r="M122">
        <f>K122+L122</f>
        <v>23137.439999999995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BD649-F6AC-4775-B81E-EC7DC6FCD3C9}">
  <dimension ref="A1:S86"/>
  <sheetViews>
    <sheetView topLeftCell="C10" zoomScaleNormal="100" workbookViewId="0">
      <selection activeCell="P36" sqref="P36"/>
    </sheetView>
  </sheetViews>
  <sheetFormatPr defaultRowHeight="15" x14ac:dyDescent="0.25"/>
  <cols>
    <col min="1" max="1" width="22" bestFit="1" customWidth="1"/>
    <col min="2" max="2" width="11.140625" customWidth="1"/>
    <col min="5" max="5" width="22" bestFit="1" customWidth="1"/>
    <col min="6" max="6" width="12.28515625" bestFit="1" customWidth="1"/>
    <col min="9" max="9" width="10.7109375" bestFit="1" customWidth="1"/>
    <col min="10" max="10" width="12.5703125" bestFit="1" customWidth="1"/>
    <col min="11" max="11" width="10.85546875" bestFit="1" customWidth="1"/>
    <col min="12" max="12" width="30.85546875" customWidth="1"/>
    <col min="13" max="13" width="22" bestFit="1" customWidth="1"/>
    <col min="15" max="15" width="12.7109375" customWidth="1"/>
    <col min="16" max="16" width="31.28515625" customWidth="1"/>
    <col min="17" max="17" width="16" customWidth="1"/>
  </cols>
  <sheetData>
    <row r="1" spans="1:19" x14ac:dyDescent="0.25">
      <c r="A1" t="s">
        <v>148</v>
      </c>
      <c r="E1" t="s">
        <v>75</v>
      </c>
      <c r="F1" t="s">
        <v>10</v>
      </c>
      <c r="G1" t="s">
        <v>11</v>
      </c>
      <c r="H1" t="s">
        <v>76</v>
      </c>
      <c r="I1" t="s">
        <v>77</v>
      </c>
      <c r="J1" t="s">
        <v>82</v>
      </c>
      <c r="K1" t="s">
        <v>81</v>
      </c>
      <c r="L1" t="s">
        <v>80</v>
      </c>
      <c r="M1" t="s">
        <v>78</v>
      </c>
    </row>
    <row r="2" spans="1:19" x14ac:dyDescent="0.25">
      <c r="A2" t="s">
        <v>93</v>
      </c>
      <c r="B2">
        <v>104924</v>
      </c>
      <c r="C2">
        <v>1</v>
      </c>
      <c r="D2">
        <v>1</v>
      </c>
      <c r="E2" t="s">
        <v>19</v>
      </c>
      <c r="F2">
        <v>289.77999999999997</v>
      </c>
      <c r="G2">
        <v>43.5</v>
      </c>
      <c r="H2">
        <v>261.72000000000003</v>
      </c>
      <c r="I2">
        <v>121.25</v>
      </c>
      <c r="J2">
        <v>2</v>
      </c>
      <c r="K2">
        <v>595</v>
      </c>
      <c r="L2">
        <v>110</v>
      </c>
      <c r="M2" t="s">
        <v>20</v>
      </c>
      <c r="O2">
        <v>104924</v>
      </c>
    </row>
    <row r="3" spans="1:19" x14ac:dyDescent="0.25">
      <c r="A3" t="s">
        <v>94</v>
      </c>
      <c r="B3">
        <v>104924</v>
      </c>
      <c r="C3">
        <v>1</v>
      </c>
      <c r="D3">
        <v>2</v>
      </c>
      <c r="E3" t="s">
        <v>21</v>
      </c>
      <c r="F3">
        <v>290.39</v>
      </c>
      <c r="G3">
        <v>42.89</v>
      </c>
      <c r="H3">
        <v>261.72000000000003</v>
      </c>
      <c r="I3">
        <v>121.25</v>
      </c>
      <c r="J3">
        <v>2</v>
      </c>
      <c r="K3">
        <v>595</v>
      </c>
      <c r="L3">
        <v>110</v>
      </c>
      <c r="M3" t="s">
        <v>20</v>
      </c>
    </row>
    <row r="4" spans="1:19" x14ac:dyDescent="0.25">
      <c r="A4" t="s">
        <v>95</v>
      </c>
      <c r="B4">
        <v>104924</v>
      </c>
      <c r="C4">
        <v>1</v>
      </c>
      <c r="D4">
        <v>3</v>
      </c>
      <c r="E4" t="s">
        <v>22</v>
      </c>
      <c r="F4">
        <v>290.99</v>
      </c>
      <c r="G4">
        <v>42.29</v>
      </c>
      <c r="H4">
        <v>261.72000000000003</v>
      </c>
      <c r="I4">
        <v>121.25</v>
      </c>
      <c r="J4">
        <v>2</v>
      </c>
      <c r="K4">
        <v>595</v>
      </c>
      <c r="L4">
        <v>110</v>
      </c>
      <c r="M4" t="s">
        <v>20</v>
      </c>
    </row>
    <row r="5" spans="1:19" x14ac:dyDescent="0.25">
      <c r="A5" t="s">
        <v>96</v>
      </c>
      <c r="B5">
        <v>104924</v>
      </c>
      <c r="C5">
        <v>1</v>
      </c>
      <c r="D5">
        <v>4</v>
      </c>
      <c r="E5" t="s">
        <v>23</v>
      </c>
      <c r="F5">
        <v>291.60000000000002</v>
      </c>
      <c r="G5">
        <v>41.68</v>
      </c>
      <c r="H5">
        <v>261.72000000000003</v>
      </c>
      <c r="I5">
        <v>121.25</v>
      </c>
      <c r="J5">
        <v>2</v>
      </c>
      <c r="K5">
        <v>595</v>
      </c>
      <c r="L5">
        <v>110</v>
      </c>
      <c r="M5" t="s">
        <v>20</v>
      </c>
    </row>
    <row r="6" spans="1:19" x14ac:dyDescent="0.25">
      <c r="A6" t="s">
        <v>97</v>
      </c>
      <c r="B6">
        <v>104924</v>
      </c>
      <c r="C6">
        <v>1</v>
      </c>
      <c r="D6">
        <v>5</v>
      </c>
      <c r="E6" t="s">
        <v>24</v>
      </c>
      <c r="F6">
        <v>292.20999999999998</v>
      </c>
      <c r="G6">
        <v>41.07</v>
      </c>
      <c r="H6">
        <v>261.72000000000003</v>
      </c>
      <c r="I6">
        <v>121.25</v>
      </c>
      <c r="J6">
        <v>2</v>
      </c>
      <c r="K6">
        <v>595</v>
      </c>
      <c r="L6">
        <v>110</v>
      </c>
      <c r="M6" t="s">
        <v>20</v>
      </c>
    </row>
    <row r="7" spans="1:19" x14ac:dyDescent="0.25">
      <c r="A7" t="s">
        <v>98</v>
      </c>
      <c r="B7">
        <v>104924</v>
      </c>
      <c r="C7">
        <v>1</v>
      </c>
      <c r="D7">
        <v>6</v>
      </c>
      <c r="E7" t="s">
        <v>25</v>
      </c>
      <c r="F7">
        <v>292.82</v>
      </c>
      <c r="G7">
        <v>40.46</v>
      </c>
      <c r="H7">
        <v>261.72000000000003</v>
      </c>
      <c r="I7">
        <v>121.25</v>
      </c>
      <c r="J7">
        <v>2</v>
      </c>
      <c r="K7">
        <v>595</v>
      </c>
      <c r="L7">
        <v>110</v>
      </c>
      <c r="M7" t="s">
        <v>20</v>
      </c>
    </row>
    <row r="8" spans="1:19" x14ac:dyDescent="0.25">
      <c r="A8" t="s">
        <v>99</v>
      </c>
      <c r="B8">
        <v>104924</v>
      </c>
      <c r="C8">
        <v>1</v>
      </c>
      <c r="D8">
        <v>7</v>
      </c>
      <c r="E8" t="s">
        <v>26</v>
      </c>
      <c r="F8">
        <v>293.43</v>
      </c>
      <c r="G8">
        <v>39.85</v>
      </c>
      <c r="H8">
        <v>261.72000000000003</v>
      </c>
      <c r="I8">
        <v>121.25</v>
      </c>
      <c r="J8">
        <v>2</v>
      </c>
      <c r="K8">
        <v>595</v>
      </c>
      <c r="L8">
        <v>110</v>
      </c>
      <c r="M8" t="s">
        <v>20</v>
      </c>
      <c r="O8" t="s">
        <v>79</v>
      </c>
    </row>
    <row r="9" spans="1:19" x14ac:dyDescent="0.25">
      <c r="A9" t="s">
        <v>100</v>
      </c>
      <c r="B9">
        <v>104924</v>
      </c>
      <c r="C9">
        <v>1</v>
      </c>
      <c r="D9">
        <v>8</v>
      </c>
      <c r="E9" t="s">
        <v>27</v>
      </c>
      <c r="F9">
        <v>294.04000000000002</v>
      </c>
      <c r="G9">
        <v>39.24</v>
      </c>
      <c r="H9">
        <v>261.72000000000003</v>
      </c>
      <c r="I9">
        <v>121.25</v>
      </c>
      <c r="J9">
        <v>2</v>
      </c>
      <c r="K9">
        <v>595</v>
      </c>
      <c r="L9">
        <v>110</v>
      </c>
      <c r="M9" t="s">
        <v>20</v>
      </c>
    </row>
    <row r="10" spans="1:19" x14ac:dyDescent="0.25">
      <c r="A10" t="s">
        <v>101</v>
      </c>
      <c r="B10">
        <v>104924</v>
      </c>
      <c r="C10">
        <v>1</v>
      </c>
      <c r="D10">
        <v>9</v>
      </c>
      <c r="E10" t="s">
        <v>28</v>
      </c>
      <c r="F10">
        <v>294.64999999999998</v>
      </c>
      <c r="G10">
        <v>38.630000000000003</v>
      </c>
      <c r="H10">
        <v>261.72000000000003</v>
      </c>
      <c r="I10">
        <v>121.25</v>
      </c>
      <c r="J10">
        <v>2</v>
      </c>
      <c r="K10">
        <v>595</v>
      </c>
      <c r="L10">
        <v>110</v>
      </c>
      <c r="M10" t="s">
        <v>20</v>
      </c>
      <c r="O10" t="s">
        <v>88</v>
      </c>
      <c r="P10" t="s">
        <v>89</v>
      </c>
      <c r="Q10" t="s">
        <v>91</v>
      </c>
      <c r="R10" t="s">
        <v>90</v>
      </c>
      <c r="S10" t="s">
        <v>92</v>
      </c>
    </row>
    <row r="11" spans="1:19" x14ac:dyDescent="0.25">
      <c r="A11" t="s">
        <v>102</v>
      </c>
      <c r="B11">
        <v>104924</v>
      </c>
      <c r="C11">
        <v>1</v>
      </c>
      <c r="D11">
        <v>10</v>
      </c>
      <c r="E11" t="s">
        <v>29</v>
      </c>
      <c r="F11">
        <v>295.26</v>
      </c>
      <c r="G11">
        <v>38.020000000000003</v>
      </c>
      <c r="H11">
        <v>261.72000000000003</v>
      </c>
      <c r="I11">
        <v>121.25</v>
      </c>
      <c r="J11">
        <v>2</v>
      </c>
      <c r="K11">
        <v>595</v>
      </c>
      <c r="L11">
        <v>110</v>
      </c>
      <c r="M11" t="s">
        <v>20</v>
      </c>
      <c r="O11">
        <v>303</v>
      </c>
      <c r="P11" t="s">
        <v>83</v>
      </c>
      <c r="Q11">
        <v>110</v>
      </c>
      <c r="R11">
        <v>327</v>
      </c>
      <c r="S11">
        <v>1</v>
      </c>
    </row>
    <row r="12" spans="1:19" x14ac:dyDescent="0.25">
      <c r="A12" t="s">
        <v>103</v>
      </c>
      <c r="B12">
        <v>104924</v>
      </c>
      <c r="C12">
        <v>1</v>
      </c>
      <c r="D12">
        <v>11</v>
      </c>
      <c r="E12" t="s">
        <v>30</v>
      </c>
      <c r="F12">
        <v>295.88</v>
      </c>
      <c r="G12">
        <v>37.4</v>
      </c>
      <c r="H12">
        <v>261.72000000000003</v>
      </c>
      <c r="I12">
        <v>121.25</v>
      </c>
      <c r="J12">
        <v>2</v>
      </c>
      <c r="K12">
        <v>595</v>
      </c>
      <c r="L12">
        <v>110</v>
      </c>
      <c r="M12" t="s">
        <v>20</v>
      </c>
      <c r="O12">
        <v>8227</v>
      </c>
      <c r="P12" t="s">
        <v>84</v>
      </c>
      <c r="Q12">
        <v>27.31</v>
      </c>
      <c r="R12">
        <v>320</v>
      </c>
      <c r="S12">
        <v>2</v>
      </c>
    </row>
    <row r="13" spans="1:19" x14ac:dyDescent="0.25">
      <c r="A13" t="s">
        <v>104</v>
      </c>
      <c r="B13">
        <v>104924</v>
      </c>
      <c r="C13">
        <v>1</v>
      </c>
      <c r="D13">
        <v>12</v>
      </c>
      <c r="E13" t="s">
        <v>31</v>
      </c>
      <c r="F13">
        <v>296.5</v>
      </c>
      <c r="G13">
        <v>36.78</v>
      </c>
      <c r="H13">
        <v>261.72000000000003</v>
      </c>
      <c r="I13">
        <v>121.25</v>
      </c>
      <c r="J13">
        <v>2</v>
      </c>
      <c r="K13">
        <v>595</v>
      </c>
      <c r="L13">
        <v>110</v>
      </c>
      <c r="M13" t="s">
        <v>20</v>
      </c>
      <c r="O13">
        <v>8231</v>
      </c>
      <c r="P13" t="s">
        <v>85</v>
      </c>
      <c r="Q13">
        <v>31.25</v>
      </c>
      <c r="R13">
        <v>320</v>
      </c>
      <c r="S13">
        <v>2</v>
      </c>
    </row>
    <row r="14" spans="1:19" x14ac:dyDescent="0.25">
      <c r="A14" t="s">
        <v>105</v>
      </c>
      <c r="B14">
        <v>104924</v>
      </c>
      <c r="C14">
        <v>1</v>
      </c>
      <c r="D14">
        <v>13</v>
      </c>
      <c r="E14" t="s">
        <v>32</v>
      </c>
      <c r="F14">
        <v>297.11</v>
      </c>
      <c r="G14">
        <v>36.17</v>
      </c>
      <c r="H14">
        <v>261.72000000000003</v>
      </c>
      <c r="I14">
        <v>121.25</v>
      </c>
      <c r="J14">
        <v>2</v>
      </c>
      <c r="K14">
        <v>595</v>
      </c>
      <c r="L14">
        <v>110</v>
      </c>
      <c r="M14" t="s">
        <v>20</v>
      </c>
      <c r="O14">
        <v>8232</v>
      </c>
      <c r="P14" t="s">
        <v>86</v>
      </c>
      <c r="Q14">
        <v>39</v>
      </c>
      <c r="R14">
        <v>320</v>
      </c>
      <c r="S14">
        <v>2</v>
      </c>
    </row>
    <row r="15" spans="1:19" x14ac:dyDescent="0.25">
      <c r="A15" t="s">
        <v>106</v>
      </c>
      <c r="B15">
        <v>104924</v>
      </c>
      <c r="C15">
        <v>1</v>
      </c>
      <c r="D15">
        <v>14</v>
      </c>
      <c r="E15" t="s">
        <v>33</v>
      </c>
      <c r="F15">
        <v>297.73</v>
      </c>
      <c r="G15">
        <v>35.549999999999997</v>
      </c>
      <c r="H15">
        <v>261.72000000000003</v>
      </c>
      <c r="I15">
        <v>121.25</v>
      </c>
      <c r="J15">
        <v>2</v>
      </c>
      <c r="K15">
        <v>595</v>
      </c>
      <c r="L15">
        <v>110</v>
      </c>
      <c r="M15" t="s">
        <v>20</v>
      </c>
      <c r="O15">
        <v>8233</v>
      </c>
      <c r="P15" t="s">
        <v>87</v>
      </c>
      <c r="Q15">
        <v>54.16</v>
      </c>
      <c r="R15">
        <v>320</v>
      </c>
      <c r="S15">
        <v>2</v>
      </c>
    </row>
    <row r="16" spans="1:19" x14ac:dyDescent="0.25">
      <c r="A16" t="s">
        <v>107</v>
      </c>
      <c r="B16">
        <v>104924</v>
      </c>
      <c r="C16">
        <v>1</v>
      </c>
      <c r="D16">
        <v>15</v>
      </c>
      <c r="E16" t="s">
        <v>34</v>
      </c>
      <c r="F16">
        <v>298.35000000000002</v>
      </c>
      <c r="G16">
        <v>34.93</v>
      </c>
      <c r="H16">
        <v>261.72000000000003</v>
      </c>
      <c r="I16">
        <v>121.25</v>
      </c>
      <c r="J16">
        <v>2</v>
      </c>
      <c r="K16">
        <v>595</v>
      </c>
      <c r="L16">
        <v>110</v>
      </c>
      <c r="M16" t="s">
        <v>20</v>
      </c>
      <c r="Q16">
        <f>SUM(Q11:Q15)</f>
        <v>261.72000000000003</v>
      </c>
    </row>
    <row r="17" spans="1:17" x14ac:dyDescent="0.25">
      <c r="A17" t="s">
        <v>108</v>
      </c>
      <c r="B17">
        <v>104924</v>
      </c>
      <c r="C17">
        <v>1</v>
      </c>
      <c r="D17">
        <v>16</v>
      </c>
      <c r="E17" t="s">
        <v>35</v>
      </c>
      <c r="F17">
        <v>298.97000000000003</v>
      </c>
      <c r="G17">
        <v>34.31</v>
      </c>
      <c r="H17">
        <v>261.72000000000003</v>
      </c>
      <c r="I17">
        <v>121.25</v>
      </c>
      <c r="J17">
        <v>2</v>
      </c>
      <c r="K17">
        <v>595</v>
      </c>
      <c r="L17">
        <v>110</v>
      </c>
      <c r="M17" t="s">
        <v>20</v>
      </c>
    </row>
    <row r="18" spans="1:17" x14ac:dyDescent="0.25">
      <c r="A18" t="s">
        <v>109</v>
      </c>
      <c r="B18">
        <v>104924</v>
      </c>
      <c r="C18">
        <v>1</v>
      </c>
      <c r="D18">
        <v>17</v>
      </c>
      <c r="E18" t="s">
        <v>36</v>
      </c>
      <c r="F18">
        <v>299.60000000000002</v>
      </c>
      <c r="G18">
        <v>33.68</v>
      </c>
      <c r="H18">
        <v>261.72000000000003</v>
      </c>
      <c r="I18">
        <v>121.25</v>
      </c>
      <c r="J18">
        <v>2</v>
      </c>
      <c r="K18">
        <v>595</v>
      </c>
      <c r="L18">
        <v>110</v>
      </c>
      <c r="M18" t="s">
        <v>20</v>
      </c>
      <c r="O18" t="s">
        <v>178</v>
      </c>
    </row>
    <row r="19" spans="1:17" x14ac:dyDescent="0.25">
      <c r="A19" t="s">
        <v>110</v>
      </c>
      <c r="B19">
        <v>104924</v>
      </c>
      <c r="C19">
        <v>1</v>
      </c>
      <c r="D19">
        <v>18</v>
      </c>
      <c r="E19" t="s">
        <v>37</v>
      </c>
      <c r="F19">
        <v>300.22000000000003</v>
      </c>
      <c r="G19">
        <v>33.06</v>
      </c>
      <c r="H19">
        <v>261.72000000000003</v>
      </c>
      <c r="I19">
        <v>121.25</v>
      </c>
      <c r="J19">
        <v>2</v>
      </c>
      <c r="K19">
        <v>595</v>
      </c>
      <c r="L19">
        <v>110</v>
      </c>
      <c r="M19" t="s">
        <v>20</v>
      </c>
      <c r="O19" t="s">
        <v>153</v>
      </c>
    </row>
    <row r="20" spans="1:17" x14ac:dyDescent="0.25">
      <c r="A20" t="s">
        <v>111</v>
      </c>
      <c r="B20">
        <v>104924</v>
      </c>
      <c r="C20">
        <v>1</v>
      </c>
      <c r="D20">
        <v>19</v>
      </c>
      <c r="E20" t="s">
        <v>38</v>
      </c>
      <c r="F20">
        <v>300.85000000000002</v>
      </c>
      <c r="G20">
        <v>32.43</v>
      </c>
      <c r="H20">
        <v>261.72000000000003</v>
      </c>
      <c r="I20">
        <v>121.25</v>
      </c>
      <c r="J20">
        <v>2</v>
      </c>
      <c r="K20">
        <v>595</v>
      </c>
      <c r="L20">
        <v>110</v>
      </c>
      <c r="M20" t="s">
        <v>20</v>
      </c>
      <c r="O20" s="1" t="s">
        <v>151</v>
      </c>
      <c r="P20" t="s">
        <v>155</v>
      </c>
      <c r="Q20" t="s">
        <v>156</v>
      </c>
    </row>
    <row r="21" spans="1:17" x14ac:dyDescent="0.25">
      <c r="A21" t="s">
        <v>112</v>
      </c>
      <c r="B21">
        <v>104924</v>
      </c>
      <c r="C21">
        <v>1</v>
      </c>
      <c r="D21">
        <v>20</v>
      </c>
      <c r="E21" t="s">
        <v>39</v>
      </c>
      <c r="F21">
        <v>301.47000000000003</v>
      </c>
      <c r="G21">
        <v>31.81</v>
      </c>
      <c r="H21">
        <v>261.72000000000003</v>
      </c>
      <c r="I21">
        <v>121.25</v>
      </c>
      <c r="J21">
        <v>2</v>
      </c>
      <c r="K21">
        <v>595</v>
      </c>
      <c r="L21">
        <v>110</v>
      </c>
      <c r="M21" t="s">
        <v>20</v>
      </c>
      <c r="O21" s="1" t="s">
        <v>152</v>
      </c>
      <c r="P21" t="s">
        <v>157</v>
      </c>
      <c r="Q21" t="s">
        <v>157</v>
      </c>
    </row>
    <row r="22" spans="1:17" x14ac:dyDescent="0.25">
      <c r="A22" t="s">
        <v>113</v>
      </c>
      <c r="B22">
        <v>104924</v>
      </c>
      <c r="C22">
        <v>1</v>
      </c>
      <c r="D22">
        <v>21</v>
      </c>
      <c r="E22" t="s">
        <v>40</v>
      </c>
      <c r="F22">
        <v>302.10000000000002</v>
      </c>
      <c r="G22">
        <v>31.18</v>
      </c>
      <c r="H22">
        <v>261.72000000000003</v>
      </c>
      <c r="I22">
        <v>121.25</v>
      </c>
      <c r="J22">
        <v>2</v>
      </c>
      <c r="K22">
        <v>595</v>
      </c>
      <c r="L22">
        <v>110</v>
      </c>
      <c r="M22" t="s">
        <v>20</v>
      </c>
      <c r="O22" s="4">
        <v>200</v>
      </c>
      <c r="P22" s="3" t="s">
        <v>158</v>
      </c>
      <c r="Q22" t="s">
        <v>159</v>
      </c>
    </row>
    <row r="23" spans="1:17" x14ac:dyDescent="0.25">
      <c r="A23" t="s">
        <v>114</v>
      </c>
      <c r="B23">
        <v>104924</v>
      </c>
      <c r="C23">
        <v>1</v>
      </c>
      <c r="D23">
        <v>22</v>
      </c>
      <c r="E23" t="s">
        <v>41</v>
      </c>
      <c r="F23">
        <v>302.73</v>
      </c>
      <c r="G23">
        <v>30.55</v>
      </c>
      <c r="H23">
        <v>261.72000000000003</v>
      </c>
      <c r="I23">
        <v>121.25</v>
      </c>
      <c r="J23">
        <v>2</v>
      </c>
      <c r="K23">
        <v>595</v>
      </c>
      <c r="L23">
        <v>110</v>
      </c>
      <c r="M23" t="s">
        <v>20</v>
      </c>
      <c r="O23">
        <v>230</v>
      </c>
      <c r="P23" t="s">
        <v>160</v>
      </c>
      <c r="Q23" t="s">
        <v>161</v>
      </c>
    </row>
    <row r="24" spans="1:17" x14ac:dyDescent="0.25">
      <c r="A24" t="s">
        <v>115</v>
      </c>
      <c r="B24">
        <v>104924</v>
      </c>
      <c r="C24">
        <v>1</v>
      </c>
      <c r="D24">
        <v>22</v>
      </c>
      <c r="E24" t="s">
        <v>42</v>
      </c>
      <c r="F24">
        <v>-302.73</v>
      </c>
      <c r="G24">
        <v>-30.55</v>
      </c>
      <c r="H24">
        <v>-261.72000000000003</v>
      </c>
      <c r="I24">
        <v>-121.25</v>
      </c>
      <c r="J24">
        <v>2</v>
      </c>
      <c r="K24">
        <v>-595</v>
      </c>
      <c r="L24">
        <v>-110</v>
      </c>
      <c r="M24" t="s">
        <v>20</v>
      </c>
      <c r="O24">
        <v>240</v>
      </c>
      <c r="P24" s="1" t="s">
        <v>162</v>
      </c>
      <c r="Q24" t="s">
        <v>163</v>
      </c>
    </row>
    <row r="25" spans="1:17" x14ac:dyDescent="0.25">
      <c r="A25" t="s">
        <v>116</v>
      </c>
      <c r="B25">
        <v>104924</v>
      </c>
      <c r="C25">
        <v>1</v>
      </c>
      <c r="D25">
        <v>22</v>
      </c>
      <c r="E25" t="s">
        <v>43</v>
      </c>
      <c r="F25">
        <v>302.73</v>
      </c>
      <c r="G25">
        <v>30.55</v>
      </c>
      <c r="H25">
        <v>261.72000000000003</v>
      </c>
      <c r="I25">
        <v>148.75</v>
      </c>
      <c r="J25">
        <v>2</v>
      </c>
      <c r="K25">
        <v>595</v>
      </c>
      <c r="L25">
        <v>0</v>
      </c>
      <c r="M25" t="s">
        <v>20</v>
      </c>
      <c r="O25">
        <v>260</v>
      </c>
      <c r="P25" s="1" t="s">
        <v>164</v>
      </c>
      <c r="Q25" t="s">
        <v>165</v>
      </c>
    </row>
    <row r="26" spans="1:17" x14ac:dyDescent="0.25">
      <c r="A26" t="s">
        <v>115</v>
      </c>
      <c r="B26">
        <v>104924</v>
      </c>
      <c r="C26">
        <v>1</v>
      </c>
      <c r="D26">
        <v>23</v>
      </c>
      <c r="E26" t="s">
        <v>43</v>
      </c>
      <c r="F26">
        <v>303.36</v>
      </c>
      <c r="G26">
        <v>29.92</v>
      </c>
      <c r="H26">
        <v>261.72000000000003</v>
      </c>
      <c r="I26">
        <v>148.75</v>
      </c>
      <c r="J26">
        <v>2</v>
      </c>
      <c r="K26">
        <v>595</v>
      </c>
      <c r="L26">
        <v>0</v>
      </c>
      <c r="M26" t="s">
        <v>20</v>
      </c>
      <c r="O26">
        <v>270</v>
      </c>
      <c r="P26" t="s">
        <v>166</v>
      </c>
      <c r="Q26" t="s">
        <v>167</v>
      </c>
    </row>
    <row r="27" spans="1:17" x14ac:dyDescent="0.25">
      <c r="A27" t="s">
        <v>117</v>
      </c>
      <c r="B27">
        <v>104924</v>
      </c>
      <c r="C27">
        <v>1</v>
      </c>
      <c r="D27">
        <v>24</v>
      </c>
      <c r="E27" t="s">
        <v>44</v>
      </c>
      <c r="F27">
        <v>303.99</v>
      </c>
      <c r="G27">
        <v>29.29</v>
      </c>
      <c r="H27">
        <v>261.72000000000003</v>
      </c>
      <c r="I27">
        <v>148.75</v>
      </c>
      <c r="J27">
        <v>2</v>
      </c>
      <c r="K27">
        <v>595</v>
      </c>
      <c r="L27">
        <v>0</v>
      </c>
      <c r="M27" t="s">
        <v>20</v>
      </c>
      <c r="O27">
        <v>242</v>
      </c>
      <c r="P27" t="s">
        <v>168</v>
      </c>
      <c r="Q27" t="s">
        <v>169</v>
      </c>
    </row>
    <row r="28" spans="1:17" x14ac:dyDescent="0.25">
      <c r="A28" t="s">
        <v>118</v>
      </c>
      <c r="B28">
        <v>104924</v>
      </c>
      <c r="C28">
        <v>1</v>
      </c>
      <c r="D28">
        <v>25</v>
      </c>
      <c r="E28" t="s">
        <v>45</v>
      </c>
      <c r="F28">
        <v>304.63</v>
      </c>
      <c r="G28">
        <v>28.65</v>
      </c>
      <c r="H28">
        <v>261.72000000000003</v>
      </c>
      <c r="I28">
        <v>148.75</v>
      </c>
      <c r="J28">
        <v>2</v>
      </c>
      <c r="K28">
        <v>595</v>
      </c>
      <c r="L28">
        <v>0</v>
      </c>
      <c r="M28" t="s">
        <v>20</v>
      </c>
      <c r="O28" s="3">
        <v>202</v>
      </c>
      <c r="P28" s="3" t="s">
        <v>170</v>
      </c>
      <c r="Q28" t="s">
        <v>171</v>
      </c>
    </row>
    <row r="29" spans="1:17" x14ac:dyDescent="0.25">
      <c r="A29" t="s">
        <v>119</v>
      </c>
      <c r="B29">
        <v>104924</v>
      </c>
      <c r="C29">
        <v>1</v>
      </c>
      <c r="D29">
        <v>26</v>
      </c>
      <c r="E29" t="s">
        <v>46</v>
      </c>
      <c r="F29">
        <v>305.26</v>
      </c>
      <c r="G29">
        <v>28.02</v>
      </c>
      <c r="H29">
        <v>261.72000000000003</v>
      </c>
      <c r="I29">
        <v>148.75</v>
      </c>
      <c r="J29">
        <v>2</v>
      </c>
      <c r="K29">
        <v>595</v>
      </c>
      <c r="L29">
        <v>0</v>
      </c>
      <c r="M29" t="s">
        <v>20</v>
      </c>
      <c r="O29">
        <v>222</v>
      </c>
      <c r="P29" t="s">
        <v>172</v>
      </c>
      <c r="Q29" t="s">
        <v>173</v>
      </c>
    </row>
    <row r="30" spans="1:17" x14ac:dyDescent="0.25">
      <c r="A30" t="s">
        <v>120</v>
      </c>
      <c r="B30">
        <v>104924</v>
      </c>
      <c r="C30">
        <v>1</v>
      </c>
      <c r="D30">
        <v>27</v>
      </c>
      <c r="E30" t="s">
        <v>47</v>
      </c>
      <c r="F30">
        <v>305.89999999999998</v>
      </c>
      <c r="G30">
        <v>27.38</v>
      </c>
      <c r="H30">
        <v>261.72000000000003</v>
      </c>
      <c r="I30">
        <v>148.75</v>
      </c>
      <c r="J30">
        <v>2</v>
      </c>
      <c r="K30">
        <v>595</v>
      </c>
      <c r="L30">
        <v>0</v>
      </c>
      <c r="M30" t="s">
        <v>20</v>
      </c>
      <c r="O30">
        <v>290</v>
      </c>
      <c r="P30" t="s">
        <v>174</v>
      </c>
      <c r="Q30" t="s">
        <v>175</v>
      </c>
    </row>
    <row r="31" spans="1:17" x14ac:dyDescent="0.25">
      <c r="A31" t="s">
        <v>121</v>
      </c>
      <c r="B31">
        <v>104924</v>
      </c>
      <c r="C31">
        <v>1</v>
      </c>
      <c r="D31">
        <v>28</v>
      </c>
      <c r="E31" t="s">
        <v>48</v>
      </c>
      <c r="F31">
        <v>306.54000000000002</v>
      </c>
      <c r="G31">
        <v>26.74</v>
      </c>
      <c r="H31">
        <v>261.72000000000003</v>
      </c>
      <c r="I31">
        <v>148.75</v>
      </c>
      <c r="J31">
        <v>2</v>
      </c>
      <c r="K31">
        <v>595</v>
      </c>
      <c r="L31">
        <v>0</v>
      </c>
      <c r="M31" t="s">
        <v>20</v>
      </c>
      <c r="O31" s="4">
        <v>211</v>
      </c>
      <c r="P31" s="3" t="s">
        <v>176</v>
      </c>
      <c r="Q31" t="s">
        <v>177</v>
      </c>
    </row>
    <row r="32" spans="1:17" x14ac:dyDescent="0.25">
      <c r="A32" t="s">
        <v>122</v>
      </c>
      <c r="B32">
        <v>104924</v>
      </c>
      <c r="C32">
        <v>1</v>
      </c>
      <c r="D32">
        <v>29</v>
      </c>
      <c r="E32" t="s">
        <v>49</v>
      </c>
      <c r="F32">
        <v>307.17</v>
      </c>
      <c r="G32">
        <v>26.11</v>
      </c>
      <c r="H32">
        <v>261.72000000000003</v>
      </c>
      <c r="I32">
        <v>148.75</v>
      </c>
      <c r="J32">
        <v>2</v>
      </c>
      <c r="K32">
        <v>595</v>
      </c>
      <c r="L32">
        <v>0</v>
      </c>
      <c r="M32" t="s">
        <v>20</v>
      </c>
    </row>
    <row r="33" spans="1:17" x14ac:dyDescent="0.25">
      <c r="A33" t="s">
        <v>123</v>
      </c>
      <c r="B33">
        <v>104924</v>
      </c>
      <c r="C33">
        <v>1</v>
      </c>
      <c r="D33">
        <v>30</v>
      </c>
      <c r="E33" t="s">
        <v>50</v>
      </c>
      <c r="F33">
        <v>307.81</v>
      </c>
      <c r="G33">
        <v>25.47</v>
      </c>
      <c r="H33">
        <v>261.72000000000003</v>
      </c>
      <c r="I33">
        <v>148.75</v>
      </c>
      <c r="J33">
        <v>2</v>
      </c>
      <c r="K33">
        <v>595</v>
      </c>
      <c r="L33">
        <v>0</v>
      </c>
      <c r="M33" t="s">
        <v>20</v>
      </c>
      <c r="O33" t="s">
        <v>90</v>
      </c>
      <c r="P33" t="s">
        <v>153</v>
      </c>
      <c r="Q33" t="s">
        <v>154</v>
      </c>
    </row>
    <row r="34" spans="1:17" x14ac:dyDescent="0.25">
      <c r="A34" t="s">
        <v>124</v>
      </c>
      <c r="B34">
        <v>104924</v>
      </c>
      <c r="C34">
        <v>1</v>
      </c>
      <c r="D34">
        <v>31</v>
      </c>
      <c r="E34" t="s">
        <v>51</v>
      </c>
      <c r="F34">
        <v>308.45999999999998</v>
      </c>
      <c r="G34">
        <v>24.82</v>
      </c>
      <c r="H34">
        <v>261.72000000000003</v>
      </c>
      <c r="I34">
        <v>148.75</v>
      </c>
      <c r="J34">
        <v>2</v>
      </c>
      <c r="K34">
        <v>595</v>
      </c>
      <c r="L34">
        <v>0</v>
      </c>
      <c r="M34" t="s">
        <v>20</v>
      </c>
      <c r="O34">
        <v>1511</v>
      </c>
      <c r="P34" s="3">
        <v>200</v>
      </c>
      <c r="Q34" t="s">
        <v>149</v>
      </c>
    </row>
    <row r="35" spans="1:17" x14ac:dyDescent="0.25">
      <c r="A35" t="s">
        <v>125</v>
      </c>
      <c r="B35">
        <v>104924</v>
      </c>
      <c r="C35">
        <v>1</v>
      </c>
      <c r="D35">
        <v>32</v>
      </c>
      <c r="E35" t="s">
        <v>52</v>
      </c>
      <c r="F35">
        <v>309.10000000000002</v>
      </c>
      <c r="G35">
        <v>24.18</v>
      </c>
      <c r="H35">
        <v>261.72000000000003</v>
      </c>
      <c r="I35">
        <v>148.75</v>
      </c>
      <c r="J35">
        <v>2</v>
      </c>
      <c r="K35">
        <v>595</v>
      </c>
      <c r="L35">
        <v>0</v>
      </c>
      <c r="M35" t="s">
        <v>20</v>
      </c>
      <c r="O35">
        <v>2611</v>
      </c>
      <c r="P35" s="3">
        <v>211</v>
      </c>
      <c r="Q35" t="s">
        <v>150</v>
      </c>
    </row>
    <row r="36" spans="1:17" x14ac:dyDescent="0.25">
      <c r="A36" t="s">
        <v>126</v>
      </c>
      <c r="B36">
        <v>104924</v>
      </c>
      <c r="C36">
        <v>1</v>
      </c>
      <c r="D36">
        <v>33</v>
      </c>
      <c r="E36" t="s">
        <v>53</v>
      </c>
      <c r="F36">
        <v>309.74</v>
      </c>
      <c r="G36">
        <v>23.54</v>
      </c>
      <c r="H36">
        <v>261.72000000000003</v>
      </c>
      <c r="I36">
        <v>148.75</v>
      </c>
      <c r="J36">
        <v>2</v>
      </c>
      <c r="K36">
        <v>595</v>
      </c>
      <c r="L36">
        <v>0</v>
      </c>
      <c r="M36" t="s">
        <v>20</v>
      </c>
      <c r="O36">
        <v>3010</v>
      </c>
      <c r="P36">
        <v>222</v>
      </c>
      <c r="Q36" t="s">
        <v>150</v>
      </c>
    </row>
    <row r="37" spans="1:17" x14ac:dyDescent="0.25">
      <c r="A37" t="s">
        <v>127</v>
      </c>
      <c r="B37">
        <v>104924</v>
      </c>
      <c r="C37">
        <v>1</v>
      </c>
      <c r="D37">
        <v>34</v>
      </c>
      <c r="E37" t="s">
        <v>54</v>
      </c>
      <c r="F37">
        <v>310.39</v>
      </c>
      <c r="G37">
        <v>22.89</v>
      </c>
      <c r="H37">
        <v>261.72000000000003</v>
      </c>
      <c r="I37">
        <v>148.75</v>
      </c>
      <c r="J37">
        <v>2</v>
      </c>
      <c r="K37">
        <v>595</v>
      </c>
      <c r="L37">
        <v>0</v>
      </c>
      <c r="M37" t="s">
        <v>20</v>
      </c>
      <c r="O37">
        <v>3010</v>
      </c>
      <c r="P37">
        <v>290</v>
      </c>
      <c r="Q37" t="s">
        <v>150</v>
      </c>
    </row>
    <row r="38" spans="1:17" x14ac:dyDescent="0.25">
      <c r="A38" t="s">
        <v>128</v>
      </c>
      <c r="B38">
        <v>104924</v>
      </c>
      <c r="C38">
        <v>1</v>
      </c>
      <c r="D38">
        <v>35</v>
      </c>
      <c r="E38" t="s">
        <v>55</v>
      </c>
      <c r="F38">
        <v>311.02999999999997</v>
      </c>
      <c r="G38">
        <v>22.25</v>
      </c>
      <c r="H38">
        <v>261.72000000000003</v>
      </c>
      <c r="I38">
        <v>148.75</v>
      </c>
      <c r="J38">
        <v>2</v>
      </c>
      <c r="K38">
        <v>595</v>
      </c>
      <c r="L38">
        <v>0</v>
      </c>
      <c r="M38" t="s">
        <v>20</v>
      </c>
      <c r="O38">
        <v>3010</v>
      </c>
      <c r="P38" s="1" t="s">
        <v>151</v>
      </c>
      <c r="Q38" t="s">
        <v>150</v>
      </c>
    </row>
    <row r="39" spans="1:17" x14ac:dyDescent="0.25">
      <c r="A39" t="s">
        <v>129</v>
      </c>
      <c r="B39">
        <v>104924</v>
      </c>
      <c r="C39">
        <v>1</v>
      </c>
      <c r="D39">
        <v>36</v>
      </c>
      <c r="E39" t="s">
        <v>56</v>
      </c>
      <c r="F39">
        <v>311.68</v>
      </c>
      <c r="G39">
        <v>21.6</v>
      </c>
      <c r="H39">
        <v>261.72000000000003</v>
      </c>
      <c r="I39">
        <v>148.75</v>
      </c>
      <c r="J39">
        <v>2</v>
      </c>
      <c r="K39">
        <v>595</v>
      </c>
      <c r="L39">
        <v>0</v>
      </c>
      <c r="M39" t="s">
        <v>20</v>
      </c>
      <c r="O39">
        <v>320</v>
      </c>
      <c r="P39" s="1" t="s">
        <v>152</v>
      </c>
      <c r="Q39" t="s">
        <v>150</v>
      </c>
    </row>
    <row r="40" spans="1:17" x14ac:dyDescent="0.25">
      <c r="A40" t="s">
        <v>130</v>
      </c>
      <c r="B40">
        <v>104924</v>
      </c>
      <c r="C40">
        <v>1</v>
      </c>
      <c r="D40">
        <v>37</v>
      </c>
      <c r="E40" t="s">
        <v>57</v>
      </c>
      <c r="F40">
        <v>312.33</v>
      </c>
      <c r="G40">
        <v>20.95</v>
      </c>
      <c r="H40">
        <v>261.72000000000003</v>
      </c>
      <c r="I40">
        <v>148.75</v>
      </c>
      <c r="J40">
        <v>2</v>
      </c>
      <c r="K40">
        <v>595</v>
      </c>
      <c r="L40">
        <v>0</v>
      </c>
      <c r="M40" t="s">
        <v>20</v>
      </c>
      <c r="O40">
        <v>3740</v>
      </c>
      <c r="P40">
        <v>202</v>
      </c>
      <c r="Q40" t="s">
        <v>150</v>
      </c>
    </row>
    <row r="41" spans="1:17" x14ac:dyDescent="0.25">
      <c r="A41" t="s">
        <v>131</v>
      </c>
      <c r="B41">
        <v>104924</v>
      </c>
      <c r="C41">
        <v>1</v>
      </c>
      <c r="D41">
        <v>38</v>
      </c>
      <c r="E41" t="s">
        <v>58</v>
      </c>
      <c r="F41">
        <v>312.98</v>
      </c>
      <c r="G41">
        <v>20.3</v>
      </c>
      <c r="H41">
        <v>261.72000000000003</v>
      </c>
      <c r="I41">
        <v>148.75</v>
      </c>
      <c r="J41">
        <v>2</v>
      </c>
      <c r="K41">
        <v>595</v>
      </c>
      <c r="L41">
        <v>0</v>
      </c>
      <c r="M41" t="s">
        <v>20</v>
      </c>
      <c r="O41">
        <v>3999</v>
      </c>
      <c r="P41">
        <v>230</v>
      </c>
      <c r="Q41" t="s">
        <v>150</v>
      </c>
    </row>
    <row r="42" spans="1:17" x14ac:dyDescent="0.25">
      <c r="A42" t="s">
        <v>132</v>
      </c>
      <c r="B42">
        <v>104924</v>
      </c>
      <c r="C42">
        <v>1</v>
      </c>
      <c r="D42">
        <v>39</v>
      </c>
      <c r="E42" t="s">
        <v>59</v>
      </c>
      <c r="F42">
        <v>313.63</v>
      </c>
      <c r="G42">
        <v>19.649999999999999</v>
      </c>
      <c r="H42">
        <v>261.72000000000003</v>
      </c>
      <c r="I42">
        <v>148.75</v>
      </c>
      <c r="J42">
        <v>2</v>
      </c>
      <c r="K42">
        <v>595</v>
      </c>
      <c r="L42">
        <v>0</v>
      </c>
      <c r="M42" t="s">
        <v>20</v>
      </c>
      <c r="O42">
        <v>3999</v>
      </c>
      <c r="P42">
        <v>240</v>
      </c>
      <c r="Q42" t="s">
        <v>150</v>
      </c>
    </row>
    <row r="43" spans="1:17" x14ac:dyDescent="0.25">
      <c r="A43" t="s">
        <v>133</v>
      </c>
      <c r="B43">
        <v>104924</v>
      </c>
      <c r="C43">
        <v>1</v>
      </c>
      <c r="D43">
        <v>40</v>
      </c>
      <c r="E43" t="s">
        <v>60</v>
      </c>
      <c r="F43">
        <v>314.29000000000002</v>
      </c>
      <c r="G43">
        <v>18.989999999999998</v>
      </c>
      <c r="H43">
        <v>261.72000000000003</v>
      </c>
      <c r="I43">
        <v>148.75</v>
      </c>
      <c r="J43">
        <v>2</v>
      </c>
      <c r="K43">
        <v>595</v>
      </c>
      <c r="L43">
        <v>0</v>
      </c>
      <c r="M43" t="s">
        <v>20</v>
      </c>
      <c r="O43">
        <v>3999</v>
      </c>
      <c r="P43">
        <v>242</v>
      </c>
      <c r="Q43" t="s">
        <v>150</v>
      </c>
    </row>
    <row r="44" spans="1:17" x14ac:dyDescent="0.25">
      <c r="A44" t="s">
        <v>134</v>
      </c>
      <c r="B44">
        <v>104924</v>
      </c>
      <c r="C44">
        <v>1</v>
      </c>
      <c r="D44">
        <v>41</v>
      </c>
      <c r="E44" t="s">
        <v>61</v>
      </c>
      <c r="F44">
        <v>314.94</v>
      </c>
      <c r="G44">
        <v>18.34</v>
      </c>
      <c r="H44">
        <v>261.72000000000003</v>
      </c>
      <c r="I44">
        <v>148.75</v>
      </c>
      <c r="J44">
        <v>2</v>
      </c>
      <c r="K44">
        <v>595</v>
      </c>
      <c r="L44">
        <v>0</v>
      </c>
      <c r="M44" t="s">
        <v>20</v>
      </c>
      <c r="O44">
        <v>3999</v>
      </c>
      <c r="P44">
        <v>260</v>
      </c>
      <c r="Q44" t="s">
        <v>150</v>
      </c>
    </row>
    <row r="45" spans="1:17" x14ac:dyDescent="0.25">
      <c r="A45" t="s">
        <v>135</v>
      </c>
      <c r="B45">
        <v>104924</v>
      </c>
      <c r="C45">
        <v>1</v>
      </c>
      <c r="D45">
        <v>42</v>
      </c>
      <c r="E45" t="s">
        <v>62</v>
      </c>
      <c r="F45">
        <v>315.60000000000002</v>
      </c>
      <c r="G45">
        <v>17.68</v>
      </c>
      <c r="H45">
        <v>261.72000000000003</v>
      </c>
      <c r="I45">
        <v>148.75</v>
      </c>
      <c r="J45">
        <v>2</v>
      </c>
      <c r="K45">
        <v>595</v>
      </c>
      <c r="L45">
        <v>0</v>
      </c>
      <c r="M45" t="s">
        <v>20</v>
      </c>
      <c r="O45">
        <v>3999</v>
      </c>
      <c r="P45">
        <v>270</v>
      </c>
      <c r="Q45" t="s">
        <v>150</v>
      </c>
    </row>
    <row r="46" spans="1:17" x14ac:dyDescent="0.25">
      <c r="A46" t="s">
        <v>136</v>
      </c>
      <c r="B46">
        <v>104924</v>
      </c>
      <c r="C46">
        <v>1</v>
      </c>
      <c r="D46">
        <v>43</v>
      </c>
      <c r="E46" t="s">
        <v>63</v>
      </c>
      <c r="F46">
        <v>316.26</v>
      </c>
      <c r="G46">
        <v>17.02</v>
      </c>
      <c r="H46">
        <v>261.72000000000003</v>
      </c>
      <c r="I46">
        <v>148.75</v>
      </c>
      <c r="J46">
        <v>2</v>
      </c>
      <c r="K46">
        <v>595</v>
      </c>
      <c r="L46">
        <v>0</v>
      </c>
      <c r="M46" t="s">
        <v>20</v>
      </c>
    </row>
    <row r="47" spans="1:17" x14ac:dyDescent="0.25">
      <c r="A47" t="s">
        <v>137</v>
      </c>
      <c r="B47">
        <v>104924</v>
      </c>
      <c r="C47">
        <v>1</v>
      </c>
      <c r="D47">
        <v>44</v>
      </c>
      <c r="E47" t="s">
        <v>64</v>
      </c>
      <c r="F47">
        <v>316.92</v>
      </c>
      <c r="G47">
        <v>16.36</v>
      </c>
      <c r="H47">
        <v>261.72000000000003</v>
      </c>
      <c r="I47">
        <v>148.75</v>
      </c>
      <c r="J47">
        <v>2</v>
      </c>
      <c r="K47">
        <v>595</v>
      </c>
      <c r="L47">
        <v>0</v>
      </c>
      <c r="M47" t="s">
        <v>20</v>
      </c>
    </row>
    <row r="48" spans="1:17" x14ac:dyDescent="0.25">
      <c r="A48" t="s">
        <v>138</v>
      </c>
      <c r="B48">
        <v>104924</v>
      </c>
      <c r="C48">
        <v>1</v>
      </c>
      <c r="D48">
        <v>45</v>
      </c>
      <c r="E48" t="s">
        <v>65</v>
      </c>
      <c r="F48">
        <v>317.58</v>
      </c>
      <c r="G48">
        <v>15.7</v>
      </c>
      <c r="H48">
        <v>261.72000000000003</v>
      </c>
      <c r="I48">
        <v>148.75</v>
      </c>
      <c r="J48">
        <v>2</v>
      </c>
      <c r="K48">
        <v>595</v>
      </c>
      <c r="L48">
        <v>0</v>
      </c>
      <c r="M48" t="s">
        <v>20</v>
      </c>
      <c r="O48" t="s">
        <v>179</v>
      </c>
    </row>
    <row r="49" spans="1:17" x14ac:dyDescent="0.25">
      <c r="A49" t="s">
        <v>139</v>
      </c>
      <c r="B49">
        <v>104924</v>
      </c>
      <c r="C49">
        <v>1</v>
      </c>
      <c r="D49">
        <v>46</v>
      </c>
      <c r="E49" t="s">
        <v>66</v>
      </c>
      <c r="F49">
        <v>318.24</v>
      </c>
      <c r="G49">
        <v>15.04</v>
      </c>
      <c r="H49">
        <v>261.72000000000003</v>
      </c>
      <c r="I49">
        <v>148.75</v>
      </c>
      <c r="J49">
        <v>2</v>
      </c>
      <c r="K49">
        <v>595</v>
      </c>
      <c r="L49">
        <v>0</v>
      </c>
      <c r="M49" t="s">
        <v>20</v>
      </c>
      <c r="O49" t="s">
        <v>90</v>
      </c>
      <c r="P49" t="s">
        <v>153</v>
      </c>
      <c r="Q49" t="s">
        <v>154</v>
      </c>
    </row>
    <row r="50" spans="1:17" x14ac:dyDescent="0.25">
      <c r="A50" t="s">
        <v>140</v>
      </c>
      <c r="B50">
        <v>104924</v>
      </c>
      <c r="C50">
        <v>1</v>
      </c>
      <c r="D50">
        <v>47</v>
      </c>
      <c r="E50" t="s">
        <v>67</v>
      </c>
      <c r="F50">
        <v>318.89999999999998</v>
      </c>
      <c r="G50">
        <v>14.38</v>
      </c>
      <c r="H50">
        <v>261.72000000000003</v>
      </c>
      <c r="I50">
        <v>148.75</v>
      </c>
      <c r="J50">
        <v>2</v>
      </c>
      <c r="K50">
        <v>595</v>
      </c>
      <c r="L50">
        <v>0</v>
      </c>
      <c r="M50" t="s">
        <v>20</v>
      </c>
      <c r="O50">
        <v>0</v>
      </c>
      <c r="P50">
        <v>609</v>
      </c>
      <c r="Q50" t="s">
        <v>149</v>
      </c>
    </row>
    <row r="51" spans="1:17" x14ac:dyDescent="0.25">
      <c r="A51" t="s">
        <v>141</v>
      </c>
      <c r="B51">
        <v>104924</v>
      </c>
      <c r="C51">
        <v>1</v>
      </c>
      <c r="D51">
        <v>48</v>
      </c>
      <c r="E51" t="s">
        <v>68</v>
      </c>
      <c r="F51">
        <v>319.58999999999997</v>
      </c>
      <c r="G51">
        <v>13.69</v>
      </c>
      <c r="H51">
        <v>261.72000000000003</v>
      </c>
      <c r="I51">
        <v>148.75</v>
      </c>
      <c r="J51">
        <v>2</v>
      </c>
      <c r="K51">
        <v>595</v>
      </c>
      <c r="L51">
        <v>0</v>
      </c>
      <c r="M51" t="s">
        <v>20</v>
      </c>
      <c r="O51">
        <v>0</v>
      </c>
      <c r="P51">
        <v>611</v>
      </c>
      <c r="Q51" t="s">
        <v>149</v>
      </c>
    </row>
    <row r="52" spans="1:17" x14ac:dyDescent="0.25">
      <c r="A52" t="s">
        <v>142</v>
      </c>
      <c r="B52">
        <v>104924</v>
      </c>
      <c r="C52">
        <v>1</v>
      </c>
      <c r="D52">
        <v>49</v>
      </c>
      <c r="E52" t="s">
        <v>69</v>
      </c>
      <c r="F52">
        <v>595</v>
      </c>
      <c r="G52">
        <v>0</v>
      </c>
      <c r="H52">
        <v>0</v>
      </c>
      <c r="I52">
        <v>148.75</v>
      </c>
      <c r="J52">
        <v>2</v>
      </c>
      <c r="K52">
        <v>595</v>
      </c>
      <c r="L52">
        <v>0</v>
      </c>
      <c r="M52" t="s">
        <v>20</v>
      </c>
      <c r="O52">
        <v>1511</v>
      </c>
      <c r="P52">
        <v>609</v>
      </c>
      <c r="Q52" t="s">
        <v>150</v>
      </c>
    </row>
    <row r="53" spans="1:17" x14ac:dyDescent="0.25">
      <c r="A53" t="s">
        <v>143</v>
      </c>
      <c r="B53">
        <v>104924</v>
      </c>
      <c r="C53">
        <v>1</v>
      </c>
      <c r="D53">
        <v>50</v>
      </c>
      <c r="E53" t="s">
        <v>70</v>
      </c>
      <c r="F53">
        <v>595</v>
      </c>
      <c r="G53">
        <v>0</v>
      </c>
      <c r="H53">
        <v>0</v>
      </c>
      <c r="I53">
        <v>148.75</v>
      </c>
      <c r="J53">
        <v>2</v>
      </c>
      <c r="K53">
        <v>595</v>
      </c>
      <c r="L53">
        <v>0</v>
      </c>
      <c r="M53" t="s">
        <v>20</v>
      </c>
      <c r="O53">
        <v>2892</v>
      </c>
      <c r="P53">
        <v>611</v>
      </c>
      <c r="Q53" t="s">
        <v>150</v>
      </c>
    </row>
    <row r="54" spans="1:17" x14ac:dyDescent="0.25">
      <c r="A54" t="s">
        <v>144</v>
      </c>
      <c r="B54">
        <v>104924</v>
      </c>
      <c r="C54">
        <v>1</v>
      </c>
      <c r="D54">
        <v>51</v>
      </c>
      <c r="E54" t="s">
        <v>71</v>
      </c>
      <c r="F54">
        <v>595</v>
      </c>
      <c r="G54">
        <v>0</v>
      </c>
      <c r="H54">
        <v>0</v>
      </c>
      <c r="I54">
        <v>148.75</v>
      </c>
      <c r="J54">
        <v>2</v>
      </c>
      <c r="K54">
        <v>595</v>
      </c>
      <c r="L54">
        <v>0</v>
      </c>
      <c r="M54" t="s">
        <v>20</v>
      </c>
      <c r="O54" t="s">
        <v>153</v>
      </c>
    </row>
    <row r="55" spans="1:17" x14ac:dyDescent="0.25">
      <c r="A55" t="s">
        <v>145</v>
      </c>
      <c r="B55">
        <v>104924</v>
      </c>
      <c r="C55">
        <v>1</v>
      </c>
      <c r="D55">
        <v>52</v>
      </c>
      <c r="E55" t="s">
        <v>72</v>
      </c>
      <c r="F55">
        <v>595</v>
      </c>
      <c r="G55">
        <v>0</v>
      </c>
      <c r="H55">
        <v>0</v>
      </c>
      <c r="I55">
        <v>148.75</v>
      </c>
      <c r="J55">
        <v>2</v>
      </c>
      <c r="K55">
        <v>595</v>
      </c>
      <c r="L55">
        <v>0</v>
      </c>
      <c r="M55" t="s">
        <v>20</v>
      </c>
      <c r="O55">
        <v>611</v>
      </c>
      <c r="P55" t="s">
        <v>180</v>
      </c>
      <c r="Q55" t="s">
        <v>180</v>
      </c>
    </row>
    <row r="56" spans="1:17" x14ac:dyDescent="0.25">
      <c r="A56" t="s">
        <v>146</v>
      </c>
      <c r="B56">
        <v>104924</v>
      </c>
      <c r="C56">
        <v>1</v>
      </c>
      <c r="D56">
        <v>53</v>
      </c>
      <c r="E56" t="s">
        <v>73</v>
      </c>
      <c r="F56">
        <v>595</v>
      </c>
      <c r="G56">
        <v>0</v>
      </c>
      <c r="H56">
        <v>0</v>
      </c>
      <c r="I56">
        <v>148.75</v>
      </c>
      <c r="J56">
        <v>2</v>
      </c>
      <c r="K56">
        <v>595</v>
      </c>
      <c r="L56">
        <v>0</v>
      </c>
      <c r="M56" t="s">
        <v>20</v>
      </c>
      <c r="O56">
        <v>609</v>
      </c>
      <c r="P56" t="s">
        <v>181</v>
      </c>
      <c r="Q56" t="s">
        <v>181</v>
      </c>
    </row>
    <row r="57" spans="1:17" x14ac:dyDescent="0.25">
      <c r="A57" t="s">
        <v>147</v>
      </c>
      <c r="B57">
        <v>104924</v>
      </c>
      <c r="C57">
        <v>1</v>
      </c>
      <c r="D57">
        <v>54</v>
      </c>
      <c r="E57" t="s">
        <v>74</v>
      </c>
      <c r="F57">
        <v>595</v>
      </c>
      <c r="G57">
        <v>0</v>
      </c>
      <c r="H57">
        <v>0</v>
      </c>
      <c r="I57">
        <v>148.75</v>
      </c>
      <c r="J57">
        <v>2</v>
      </c>
      <c r="K57">
        <v>595</v>
      </c>
      <c r="L57">
        <v>0</v>
      </c>
      <c r="M57" t="s">
        <v>20</v>
      </c>
    </row>
    <row r="58" spans="1:17" x14ac:dyDescent="0.25">
      <c r="F58">
        <f>SUM(F2:F57)</f>
        <v>18183</v>
      </c>
      <c r="G58">
        <f>SUM(G2:G57)</f>
        <v>1384.4399999999996</v>
      </c>
      <c r="H58">
        <f>SUM(F58:G58)</f>
        <v>19567.439999999999</v>
      </c>
    </row>
    <row r="59" spans="1:17" x14ac:dyDescent="0.25">
      <c r="O59" t="s">
        <v>182</v>
      </c>
    </row>
    <row r="60" spans="1:17" x14ac:dyDescent="0.25">
      <c r="O60">
        <v>1299</v>
      </c>
      <c r="P60">
        <v>310</v>
      </c>
      <c r="Q60" t="s">
        <v>150</v>
      </c>
    </row>
    <row r="61" spans="1:17" x14ac:dyDescent="0.25">
      <c r="O61">
        <v>7839</v>
      </c>
      <c r="P61">
        <v>310</v>
      </c>
      <c r="Q61" t="s">
        <v>149</v>
      </c>
    </row>
    <row r="62" spans="1:17" x14ac:dyDescent="0.25">
      <c r="A62" t="s">
        <v>183</v>
      </c>
      <c r="B62" t="s">
        <v>185</v>
      </c>
      <c r="C62" t="s">
        <v>186</v>
      </c>
      <c r="D62" t="s">
        <v>187</v>
      </c>
    </row>
    <row r="63" spans="1:17" x14ac:dyDescent="0.25">
      <c r="A63" t="s">
        <v>184</v>
      </c>
      <c r="B63" s="5">
        <v>46373</v>
      </c>
      <c r="C63">
        <v>20876</v>
      </c>
      <c r="D63">
        <v>0</v>
      </c>
    </row>
    <row r="64" spans="1:17" x14ac:dyDescent="0.25">
      <c r="B64" s="5"/>
    </row>
    <row r="83" spans="12:14" x14ac:dyDescent="0.25">
      <c r="L83" s="2"/>
      <c r="M83" s="2"/>
      <c r="N83" s="2"/>
    </row>
    <row r="84" spans="12:14" x14ac:dyDescent="0.25">
      <c r="L84" s="2"/>
      <c r="M84" s="2"/>
      <c r="N84" s="2"/>
    </row>
    <row r="85" spans="12:14" x14ac:dyDescent="0.25">
      <c r="L85" s="2"/>
      <c r="M85" s="2"/>
      <c r="N85" s="2"/>
    </row>
    <row r="86" spans="12:14" x14ac:dyDescent="0.25">
      <c r="L8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95CC-7AF4-41AB-BE02-7273AF004F01}">
  <dimension ref="C3:G18"/>
  <sheetViews>
    <sheetView tabSelected="1" zoomScale="150" zoomScaleNormal="150" workbookViewId="0">
      <selection activeCell="G11" sqref="G11"/>
    </sheetView>
  </sheetViews>
  <sheetFormatPr defaultRowHeight="15" x14ac:dyDescent="0.25"/>
  <cols>
    <col min="4" max="4" width="26.7109375" bestFit="1" customWidth="1"/>
    <col min="7" max="7" width="27.7109375" bestFit="1" customWidth="1"/>
  </cols>
  <sheetData>
    <row r="3" spans="3:7" x14ac:dyDescent="0.25">
      <c r="C3" t="s">
        <v>224</v>
      </c>
      <c r="G3" t="s">
        <v>225</v>
      </c>
    </row>
    <row r="5" spans="3:7" x14ac:dyDescent="0.25">
      <c r="C5">
        <v>200</v>
      </c>
      <c r="D5" t="s">
        <v>188</v>
      </c>
      <c r="F5" t="s">
        <v>202</v>
      </c>
      <c r="G5" t="s">
        <v>203</v>
      </c>
    </row>
    <row r="6" spans="3:7" x14ac:dyDescent="0.25">
      <c r="C6">
        <v>300</v>
      </c>
      <c r="D6" t="s">
        <v>189</v>
      </c>
      <c r="F6" t="s">
        <v>204</v>
      </c>
      <c r="G6" t="s">
        <v>192</v>
      </c>
    </row>
    <row r="7" spans="3:7" x14ac:dyDescent="0.25">
      <c r="C7">
        <v>400</v>
      </c>
      <c r="D7" t="s">
        <v>190</v>
      </c>
      <c r="F7" t="s">
        <v>205</v>
      </c>
      <c r="G7" t="s">
        <v>196</v>
      </c>
    </row>
    <row r="8" spans="3:7" x14ac:dyDescent="0.25">
      <c r="C8">
        <v>100</v>
      </c>
      <c r="D8" t="s">
        <v>191</v>
      </c>
      <c r="F8" t="s">
        <v>206</v>
      </c>
      <c r="G8" t="s">
        <v>207</v>
      </c>
    </row>
    <row r="9" spans="3:7" x14ac:dyDescent="0.25">
      <c r="C9">
        <v>500</v>
      </c>
      <c r="D9" t="s">
        <v>192</v>
      </c>
      <c r="F9" t="s">
        <v>208</v>
      </c>
      <c r="G9" t="s">
        <v>197</v>
      </c>
    </row>
    <row r="10" spans="3:7" x14ac:dyDescent="0.25">
      <c r="C10">
        <v>600</v>
      </c>
      <c r="D10" t="s">
        <v>193</v>
      </c>
      <c r="F10" t="s">
        <v>209</v>
      </c>
      <c r="G10" t="s">
        <v>210</v>
      </c>
    </row>
    <row r="11" spans="3:7" x14ac:dyDescent="0.25">
      <c r="C11">
        <v>610</v>
      </c>
      <c r="D11" t="s">
        <v>194</v>
      </c>
      <c r="F11" t="s">
        <v>211</v>
      </c>
      <c r="G11" t="s">
        <v>212</v>
      </c>
    </row>
    <row r="12" spans="3:7" x14ac:dyDescent="0.25">
      <c r="C12">
        <v>620</v>
      </c>
      <c r="D12" t="s">
        <v>195</v>
      </c>
      <c r="F12" t="s">
        <v>213</v>
      </c>
      <c r="G12" t="s">
        <v>214</v>
      </c>
    </row>
    <row r="13" spans="3:7" x14ac:dyDescent="0.25">
      <c r="C13">
        <v>700</v>
      </c>
      <c r="D13" t="s">
        <v>196</v>
      </c>
      <c r="F13" t="s">
        <v>215</v>
      </c>
      <c r="G13" t="s">
        <v>216</v>
      </c>
    </row>
    <row r="14" spans="3:7" x14ac:dyDescent="0.25">
      <c r="C14">
        <v>800</v>
      </c>
      <c r="D14" t="s">
        <v>197</v>
      </c>
      <c r="F14" t="s">
        <v>217</v>
      </c>
      <c r="G14" t="s">
        <v>218</v>
      </c>
    </row>
    <row r="15" spans="3:7" x14ac:dyDescent="0.25">
      <c r="C15">
        <v>900</v>
      </c>
      <c r="D15" t="s">
        <v>198</v>
      </c>
      <c r="F15" t="s">
        <v>219</v>
      </c>
      <c r="G15" t="s">
        <v>220</v>
      </c>
    </row>
    <row r="16" spans="3:7" x14ac:dyDescent="0.25">
      <c r="C16">
        <v>630</v>
      </c>
      <c r="D16" t="s">
        <v>199</v>
      </c>
      <c r="F16" t="s">
        <v>221</v>
      </c>
      <c r="G16" t="s">
        <v>222</v>
      </c>
    </row>
    <row r="17" spans="3:7" x14ac:dyDescent="0.25">
      <c r="C17">
        <v>640</v>
      </c>
      <c r="D17" t="s">
        <v>200</v>
      </c>
      <c r="F17" t="s">
        <v>223</v>
      </c>
      <c r="G17" t="s">
        <v>194</v>
      </c>
    </row>
    <row r="18" spans="3:7" x14ac:dyDescent="0.25">
      <c r="C18">
        <v>810</v>
      </c>
      <c r="D18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Rikard Krameus</dc:creator>
  <cp:lastModifiedBy>Rikard Krameus</cp:lastModifiedBy>
  <dcterms:created xsi:type="dcterms:W3CDTF">2026-07-25T07:04:06Z</dcterms:created>
  <dcterms:modified xsi:type="dcterms:W3CDTF">2026-08-17T13:43:49Z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2026-07-25T07:08:02Z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1b09abb5-efc5-46a4-a016-84f9d6e157cb</vt:lpwstr>
  </property>
  <property fmtid="{D5CDD505-2E9C-101B-9397-08002B2CF9AE}" pid="8" name="MSIP_Label_3b623b29-abd1-4de3-a20c-27566d79b7c7_ContentBits">
    <vt:lpwstr>0</vt:lpwstr>
  </property>
  <property fmtid="{D5CDD505-2E9C-101B-9397-08002B2CF9AE}" pid="9" name="MSIP_Label_3b623b29-abd1-4de3-a20c-27566d79b7c7_Tag">
    <vt:lpwstr>10, 3, 0, 1</vt:lpwstr>
  </property>
</Properties>
</file>