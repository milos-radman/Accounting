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etoevry-my.sharepoint.com/personal/rikard_krameus_tieto_com/Documents/Product/OCE/ProFinance5/Accounting_Claude/"/>
    </mc:Choice>
  </mc:AlternateContent>
  <xr:revisionPtr revIDLastSave="0" documentId="8_{25A7659E-3714-4AE3-81B3-E3541435AAB3}" xr6:coauthVersionLast="47" xr6:coauthVersionMax="47" xr10:uidLastSave="{00000000-0000-0000-0000-000000000000}"/>
  <bookViews>
    <workbookView xWindow="-120" yWindow="-120" windowWidth="29040" windowHeight="15720" tabRatio="856" xr2:uid="{3292A2BD-0361-40E3-85AF-36EDAC70E44E}"/>
  </bookViews>
  <sheets>
    <sheet name="Legal Entity" sheetId="5" r:id="rId1"/>
    <sheet name="Legal Accounting Class" sheetId="4" r:id="rId2"/>
    <sheet name="Legal Accounting Ledger" sheetId="3" r:id="rId3"/>
    <sheet name="Accounting Rule" sheetId="6" r:id="rId4"/>
    <sheet name="Formula" sheetId="10" r:id="rId5"/>
    <sheet name="Conditions" sheetId="8" r:id="rId6"/>
    <sheet name="Amount Type" sheetId="9" r:id="rId7"/>
    <sheet name="Condition Values" sheetId="7" r:id="rId8"/>
    <sheet name="Accounting Event" sheetId="2" r:id="rId9"/>
    <sheet name="PseudoAccount" sheetId="11" r:id="rId10"/>
    <sheet name="Chart Of Account Template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2" l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127" i="12" s="1"/>
  <c r="F128" i="12" s="1"/>
  <c r="F129" i="12" s="1"/>
  <c r="F130" i="12" s="1"/>
  <c r="F131" i="12" s="1"/>
  <c r="F132" i="12" s="1"/>
  <c r="F133" i="12" s="1"/>
  <c r="F134" i="12" s="1"/>
  <c r="F135" i="12" s="1"/>
  <c r="F136" i="12" s="1"/>
  <c r="F137" i="12" s="1"/>
  <c r="F138" i="12" s="1"/>
  <c r="F139" i="12" s="1"/>
  <c r="F140" i="12" s="1"/>
  <c r="F141" i="12" s="1"/>
  <c r="F142" i="12" s="1"/>
  <c r="F143" i="12" s="1"/>
  <c r="F9" i="12"/>
  <c r="B42" i="11" l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N6" i="11"/>
  <c r="N7" i="11" s="1"/>
  <c r="N8" i="11" s="1"/>
  <c r="N9" i="11" s="1"/>
  <c r="N10" i="11" s="1"/>
  <c r="N11" i="11" s="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H6" i="1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N5" i="11"/>
  <c r="H5" i="1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5" i="11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6" i="8"/>
</calcChain>
</file>

<file path=xl/sharedStrings.xml><?xml version="1.0" encoding="utf-8"?>
<sst xmlns="http://schemas.openxmlformats.org/spreadsheetml/2006/main" count="2164" uniqueCount="769">
  <si>
    <t>Portfolio</t>
  </si>
  <si>
    <t>Code</t>
  </si>
  <si>
    <t>Product</t>
  </si>
  <si>
    <t>Invoicing</t>
  </si>
  <si>
    <t>Fixed Asset Value</t>
  </si>
  <si>
    <t>Amortization</t>
  </si>
  <si>
    <t>Interest</t>
  </si>
  <si>
    <t>Accounting Type</t>
  </si>
  <si>
    <t>Agreement</t>
  </si>
  <si>
    <t>Agreement Line</t>
  </si>
  <si>
    <t>Amount Code</t>
  </si>
  <si>
    <t>Activation</t>
  </si>
  <si>
    <t>Settlement Invoicing</t>
  </si>
  <si>
    <t>Termination</t>
  </si>
  <si>
    <t>Write Off</t>
  </si>
  <si>
    <t>Residual Value</t>
  </si>
  <si>
    <t>Deposit</t>
  </si>
  <si>
    <t>DL</t>
  </si>
  <si>
    <t>MG</t>
  </si>
  <si>
    <t>Total Amount</t>
  </si>
  <si>
    <t>Added Cost</t>
  </si>
  <si>
    <t>Tax</t>
  </si>
  <si>
    <t>Rounding</t>
  </si>
  <si>
    <t>Currency Code</t>
  </si>
  <si>
    <t>Invoice Number</t>
  </si>
  <si>
    <t>EUR</t>
  </si>
  <si>
    <t>Reference Number</t>
  </si>
  <si>
    <t>Customer</t>
  </si>
  <si>
    <t>Supplier</t>
  </si>
  <si>
    <t>i</t>
  </si>
  <si>
    <t>m</t>
  </si>
  <si>
    <t>Monthly Booking</t>
  </si>
  <si>
    <t>arc</t>
  </si>
  <si>
    <t>db</t>
  </si>
  <si>
    <t>dbc</t>
  </si>
  <si>
    <t>rep</t>
  </si>
  <si>
    <t>Repayment</t>
  </si>
  <si>
    <t>sup</t>
  </si>
  <si>
    <t>Supplier Invoice Payment</t>
  </si>
  <si>
    <t>usp</t>
  </si>
  <si>
    <t>mi</t>
  </si>
  <si>
    <t>Manual Invoice</t>
  </si>
  <si>
    <t>mip</t>
  </si>
  <si>
    <t>wo</t>
  </si>
  <si>
    <t>si</t>
  </si>
  <si>
    <t>s</t>
  </si>
  <si>
    <t>ca</t>
  </si>
  <si>
    <t>cp</t>
  </si>
  <si>
    <t>md</t>
  </si>
  <si>
    <t>us</t>
  </si>
  <si>
    <t>ic</t>
  </si>
  <si>
    <t>man</t>
  </si>
  <si>
    <t>cc</t>
  </si>
  <si>
    <t>Split</t>
  </si>
  <si>
    <t>Arrival Registration</t>
  </si>
  <si>
    <t>AP Arrival Registration</t>
  </si>
  <si>
    <t>AP Definite Posting</t>
  </si>
  <si>
    <t>AR Payment</t>
  </si>
  <si>
    <t>AP Payment</t>
  </si>
  <si>
    <t>AP Definite Posting - Rev</t>
  </si>
  <si>
    <t>Manual Inv - Payment</t>
  </si>
  <si>
    <t>Assignment</t>
  </si>
  <si>
    <t>Undo Activation</t>
  </si>
  <si>
    <t>Credit Invoicing</t>
  </si>
  <si>
    <t>Interest Adjustment</t>
  </si>
  <si>
    <t>Aggrement Change</t>
  </si>
  <si>
    <t>Manual Transaction</t>
  </si>
  <si>
    <t>Monthly Booking reversal</t>
  </si>
  <si>
    <t>Split -Amortization</t>
  </si>
  <si>
    <t>AP Undo Payment</t>
  </si>
  <si>
    <t>int</t>
  </si>
  <si>
    <t>spl</t>
  </si>
  <si>
    <t>spE</t>
  </si>
  <si>
    <t>ID(PK)</t>
  </si>
  <si>
    <t>Name</t>
  </si>
  <si>
    <t>Description</t>
  </si>
  <si>
    <t xml:space="preserve"> </t>
  </si>
  <si>
    <t>Final booking of supplier invoice</t>
  </si>
  <si>
    <t>Reversal of supplier invoice</t>
  </si>
  <si>
    <t>Undo of supplier payment</t>
  </si>
  <si>
    <t>NULL</t>
  </si>
  <si>
    <t>This booking type is used to reverse bookings from previous month, i.e accruals, to prevent double booking</t>
  </si>
  <si>
    <t>Reversal of booking in periods not invoice, i.e. accrued income/booked depreciation</t>
  </si>
  <si>
    <t>Invoicing bookings for an invoice that is not connected to an agreement</t>
  </si>
  <si>
    <t xml:space="preserve">Invoicing bookings for a Contract. </t>
  </si>
  <si>
    <t>Payment recived fo a manual invoice</t>
  </si>
  <si>
    <t>Used for write off a whole invoice or parts of it</t>
  </si>
  <si>
    <t xml:space="preserve">Reverse activation bookings for a Contract. </t>
  </si>
  <si>
    <t>When an agreement is assigned to a new customer</t>
  </si>
  <si>
    <t>Customer payment bookings for a Contract</t>
  </si>
  <si>
    <t>Split generate new agreement line an d new accounting</t>
  </si>
  <si>
    <t>Extra Amortization</t>
  </si>
  <si>
    <t>Manual transactions generated within the accounting domain</t>
  </si>
  <si>
    <t>Interest adjustment</t>
  </si>
  <si>
    <t>Activation accounting of the agreement</t>
  </si>
  <si>
    <t xml:space="preserve">Monthly bookings for a Contract. </t>
  </si>
  <si>
    <t>Entity = Accounting Event</t>
  </si>
  <si>
    <t>BookingDate</t>
  </si>
  <si>
    <t>Total Plan Amortization</t>
  </si>
  <si>
    <t>Total Plan Rent</t>
  </si>
  <si>
    <t>Total Plan Interest</t>
  </si>
  <si>
    <t>Decimal adjustment, roundings, from the  invoice</t>
  </si>
  <si>
    <t>Rent</t>
  </si>
  <si>
    <t>Accounting Class</t>
  </si>
  <si>
    <t>Invoice Total from the Agreement/Invoice Line</t>
  </si>
  <si>
    <t>Invoice Amortization from the Agreement/Invoice Line</t>
  </si>
  <si>
    <t>Invoice Interest from the Agreement/Invoice Line</t>
  </si>
  <si>
    <t>Invoice Tax from the Agreement/Invoice Line</t>
  </si>
  <si>
    <t>Invoice Rent = (Amortization + Interest) from the Agreement/Invoice Line</t>
  </si>
  <si>
    <t>Sum of all Period amortizations from starting date to ending date from the agreement Line</t>
  </si>
  <si>
    <t>Sum of all Period interests from starting date to ending date from the agreement Line</t>
  </si>
  <si>
    <t>Sum of all Period rents from starting date to ending date from the agreement Line</t>
  </si>
  <si>
    <t>Deposit from agreement Line</t>
  </si>
  <si>
    <t>Residual Value at agreeement line end</t>
  </si>
  <si>
    <t>The Fixed Asset Value from the agreement Line.</t>
  </si>
  <si>
    <t>Rent - Primary</t>
  </si>
  <si>
    <t xml:space="preserve">Invoice Rent Primary period= (Amortization + Interest) from the Agreement/Invoice Line -  not extended contracts.  </t>
  </si>
  <si>
    <t>Accounting Ledger</t>
  </si>
  <si>
    <t>Entity = Accounting Ledger</t>
  </si>
  <si>
    <t>LL</t>
  </si>
  <si>
    <t>LL (Local Legal)</t>
  </si>
  <si>
    <t>US</t>
  </si>
  <si>
    <t>US (US GAAP)</t>
  </si>
  <si>
    <t>CO</t>
  </si>
  <si>
    <t>Common</t>
  </si>
  <si>
    <t>Entity = Accounting Class</t>
  </si>
  <si>
    <t>Entity = Legal Entity</t>
  </si>
  <si>
    <t>Owner</t>
  </si>
  <si>
    <t>Base Currency</t>
  </si>
  <si>
    <t>GLINumber Serie</t>
  </si>
  <si>
    <t>Revaluation</t>
  </si>
  <si>
    <t>Alliance Laundry Italy SRL</t>
  </si>
  <si>
    <t>Alliance Laundry Finance Ltd</t>
  </si>
  <si>
    <t>Alliance Laundry (Netherlands) B.V.</t>
  </si>
  <si>
    <t>Entity = Party</t>
  </si>
  <si>
    <t>ALS NLD</t>
  </si>
  <si>
    <t>….....</t>
  </si>
  <si>
    <t>…......</t>
  </si>
  <si>
    <t>ALS SFB</t>
  </si>
  <si>
    <t>ALS ITA</t>
  </si>
  <si>
    <t>Entity = Currency Code</t>
  </si>
  <si>
    <t>SEK</t>
  </si>
  <si>
    <t>RSD</t>
  </si>
  <si>
    <t>Euro</t>
  </si>
  <si>
    <t>Serbian dinar</t>
  </si>
  <si>
    <t>Swedish Kronor</t>
  </si>
  <si>
    <t>Legal Entity</t>
  </si>
  <si>
    <t>0 (=Not in use)</t>
  </si>
  <si>
    <t>Used to define next available GLI Number.</t>
  </si>
  <si>
    <t>Latest created GLI Number.</t>
  </si>
  <si>
    <t>Get it from table GLIDefaults, column GLI_Number</t>
  </si>
  <si>
    <t>PF-Agreement</t>
  </si>
  <si>
    <t>AR Invoicing</t>
  </si>
  <si>
    <t>Entity = Legal Accounting Class</t>
  </si>
  <si>
    <t>Receivables - Invoicing</t>
  </si>
  <si>
    <t>Receivables - Customer Payments</t>
  </si>
  <si>
    <t>Payables - Invoicing</t>
  </si>
  <si>
    <t>Payables - Customer Payments</t>
  </si>
  <si>
    <t>14 (PF-Agreement)</t>
  </si>
  <si>
    <t>15 (AR Invoicing)</t>
  </si>
  <si>
    <t>16 (AR Payment)</t>
  </si>
  <si>
    <t>Legal Accounting Class</t>
  </si>
  <si>
    <t>Entity = Legal Accounting Ledger</t>
  </si>
  <si>
    <t>ALS NLD - PF Agreement  - Local Legal</t>
  </si>
  <si>
    <t>ALS NLD - PF Agreement  - US GAAP</t>
  </si>
  <si>
    <t>ALS ITA - PF Agreement  - US GAAP</t>
  </si>
  <si>
    <t>ALS ITA - PF Agreement  - Local Legal</t>
  </si>
  <si>
    <t>ALS SFB - PF Agreement  - Local Legal</t>
  </si>
  <si>
    <t>ALS SFB - PF Agreement  - US GAAP</t>
  </si>
  <si>
    <t>ALS NLD - AR Invoicing  - Local Legal</t>
  </si>
  <si>
    <t>ALS SFB - AR Invoicing  - Local Legal</t>
  </si>
  <si>
    <t>ALS ITA - AR Invoicing  - Local Legal</t>
  </si>
  <si>
    <t>ALS ITA - AR Invoicing  - US GAAP</t>
  </si>
  <si>
    <t>Entity = Accounting Rule</t>
  </si>
  <si>
    <t>Legal Accounting Ledger</t>
  </si>
  <si>
    <t>Accounting Event</t>
  </si>
  <si>
    <t>1 (Activation)</t>
  </si>
  <si>
    <t xml:space="preserve">Formula </t>
  </si>
  <si>
    <t>Debit/Credit</t>
  </si>
  <si>
    <t>D</t>
  </si>
  <si>
    <t>C</t>
  </si>
  <si>
    <t>Entity = Formula</t>
  </si>
  <si>
    <t>Formula Condition ID</t>
  </si>
  <si>
    <t>Credit account</t>
  </si>
  <si>
    <t>Debit Account</t>
  </si>
  <si>
    <t>014 -Fixed Asset</t>
  </si>
  <si>
    <t>040 -Deposit</t>
  </si>
  <si>
    <t>Entity = Formula Condition</t>
  </si>
  <si>
    <t>Entity = Condition Values</t>
  </si>
  <si>
    <t>Entity =  Condition</t>
  </si>
  <si>
    <t>Level</t>
  </si>
  <si>
    <t>Formula Condition</t>
  </si>
  <si>
    <t>Condition Value</t>
  </si>
  <si>
    <t>Value</t>
  </si>
  <si>
    <t>Operator</t>
  </si>
  <si>
    <t>OR</t>
  </si>
  <si>
    <t>060 - Total Plan Rent</t>
  </si>
  <si>
    <t>016 - Residual Value</t>
  </si>
  <si>
    <t>062 - Total Plan Interest</t>
  </si>
  <si>
    <t>Entity = Amount Type</t>
  </si>
  <si>
    <t>Amount Type ID</t>
  </si>
  <si>
    <t>014 - Fixed Asset(US GAAP)</t>
  </si>
  <si>
    <t>061 - Total Plan Amortization</t>
  </si>
  <si>
    <t>Formula</t>
  </si>
  <si>
    <t>The Invoice Total from the customer invoice connected to the Contract Line.</t>
  </si>
  <si>
    <t>200 - Customer Invoice Total</t>
  </si>
  <si>
    <t>Invoice added cost for the agreement/Invoice Line</t>
  </si>
  <si>
    <t>202 - Invoice Rounding</t>
  </si>
  <si>
    <t>222 -  Customer Invoice Rent</t>
  </si>
  <si>
    <t>720 - Customer Primary Invoice Rent</t>
  </si>
  <si>
    <t>228 - Customer Invoice Interest</t>
  </si>
  <si>
    <t>226 - Customer Invoice Amortization</t>
  </si>
  <si>
    <t>2 (Invoicing)</t>
  </si>
  <si>
    <t>211 -Invoice Tax</t>
  </si>
  <si>
    <t>AND</t>
  </si>
  <si>
    <t>200 - Invoice Total Amount</t>
  </si>
  <si>
    <t>255 - Invoice Added Cost</t>
  </si>
  <si>
    <t>255 - Customer Invoice Added Cost</t>
  </si>
  <si>
    <t xml:space="preserve">211 - Customer Invoice Tax </t>
  </si>
  <si>
    <t>On'account - Customer</t>
  </si>
  <si>
    <t>On'account - Agreement</t>
  </si>
  <si>
    <t>On'account that is placed on a customer</t>
  </si>
  <si>
    <t>On'account that is placed on an agreement</t>
  </si>
  <si>
    <t>610 - Customer On-Account payment</t>
  </si>
  <si>
    <t>611 - Agreement On-Account payment</t>
  </si>
  <si>
    <t>On'account that is placed on the customer</t>
  </si>
  <si>
    <t xml:space="preserve">On'account that is placed on an Agreement </t>
  </si>
  <si>
    <t xml:space="preserve">612 - Unallocated Payment </t>
  </si>
  <si>
    <t>Unallocated Payment</t>
  </si>
  <si>
    <t>Paid Amortization from Customer</t>
  </si>
  <si>
    <t>Paid Interest from Customer</t>
  </si>
  <si>
    <t>Paid Charges from Customer</t>
  </si>
  <si>
    <t>Paid Amount from Customer</t>
  </si>
  <si>
    <t xml:space="preserve">600 - Paid Amortization </t>
  </si>
  <si>
    <t>601 - Paid Interest</t>
  </si>
  <si>
    <t>603 -Paid Added cost</t>
  </si>
  <si>
    <t>609 - Paid Amount</t>
  </si>
  <si>
    <t>Unallocated Amount</t>
  </si>
  <si>
    <t>Paid amount that is inallocated</t>
  </si>
  <si>
    <t>Invoice/Payment added Cost for the Agreement/Invoice Line</t>
  </si>
  <si>
    <t>3 (AR Payment)</t>
  </si>
  <si>
    <t>st2</t>
  </si>
  <si>
    <t>st9</t>
  </si>
  <si>
    <t>Reversal</t>
  </si>
  <si>
    <t>Term Reason</t>
  </si>
  <si>
    <t>4 (Settlement Invoicing)</t>
  </si>
  <si>
    <t>The Invoice Total from the customer invoice connected to the Settlement calculation</t>
  </si>
  <si>
    <t>464 - Settlement Added Cost</t>
  </si>
  <si>
    <t>Added cost as previous extra lines and overdue interest</t>
  </si>
  <si>
    <t>400 - Settlement Value</t>
  </si>
  <si>
    <t>Chosed Settlement value in Settlement calculation.</t>
  </si>
  <si>
    <t>Settlement Value</t>
  </si>
  <si>
    <t xml:space="preserve">498 - Invoice Roundingd Amortization </t>
  </si>
  <si>
    <t>Decimal adjustment, roundings, from the customer invoice</t>
  </si>
  <si>
    <t>481 - Invoice Tax amount</t>
  </si>
  <si>
    <t>Settlement invoice VAT.</t>
  </si>
  <si>
    <t>498 - Invoice Rounding</t>
  </si>
  <si>
    <t>Customer Payment</t>
  </si>
  <si>
    <t>Termination Asset</t>
  </si>
  <si>
    <t>Termination of an agreement</t>
  </si>
  <si>
    <t>ta</t>
  </si>
  <si>
    <t>5 (Termination)</t>
  </si>
  <si>
    <t>520 - Termination Profit</t>
  </si>
  <si>
    <t>522 - Termination Loss</t>
  </si>
  <si>
    <t>Remaining Current Rent</t>
  </si>
  <si>
    <t>Remaining Non Current Rent</t>
  </si>
  <si>
    <t>Remaining Current Interest</t>
  </si>
  <si>
    <t>Remaining Non Current Interest</t>
  </si>
  <si>
    <t>Purchase Option Amount</t>
  </si>
  <si>
    <t>Remaining Contract Rent for the next 12 months. Calculated from CS_PresentValueDate.</t>
  </si>
  <si>
    <t>Remaining Contract Rent from month 13 up to the end of the contract. Calculated from CS_PresentValueDate.</t>
  </si>
  <si>
    <t>Remaining Interest for the next 12 months. Calculated from CS_PresentValueDate.</t>
  </si>
  <si>
    <t>Purchase Option Amount at contracta end</t>
  </si>
  <si>
    <t>Profit from a Settlement calculation</t>
  </si>
  <si>
    <t>Loss from a Settlement calculation</t>
  </si>
  <si>
    <t>Residual Value at contracta end</t>
  </si>
  <si>
    <t>070 - Purchase Option Amount</t>
  </si>
  <si>
    <t>400 - Termination Value</t>
  </si>
  <si>
    <t>016 -Settlement  Residual Value</t>
  </si>
  <si>
    <t>USG400 -Remaining Current Rent</t>
  </si>
  <si>
    <t>USG402 - Remaining Current Interest</t>
  </si>
  <si>
    <t>USG403 - Remaining Non Current Interest</t>
  </si>
  <si>
    <t xml:space="preserve">Remaining Interest for month 13 and up to the end of the contract. </t>
  </si>
  <si>
    <t>Profit</t>
  </si>
  <si>
    <t>Loss</t>
  </si>
  <si>
    <t>Invoice Net Amount</t>
  </si>
  <si>
    <t>Invoice Net amount from the Agreement/Invoice Line</t>
  </si>
  <si>
    <t>470 - Settlement Net</t>
  </si>
  <si>
    <t>Net amount from settlement calculation</t>
  </si>
  <si>
    <t>And</t>
  </si>
  <si>
    <t>Entity =  Event Category</t>
  </si>
  <si>
    <t>Normal</t>
  </si>
  <si>
    <t>Creating the different accounting transactions according to the accounting event</t>
  </si>
  <si>
    <t>Is used for reversal of existing transactions that is created earlier</t>
  </si>
  <si>
    <t>Event Category ID</t>
  </si>
  <si>
    <t>Original Event</t>
  </si>
  <si>
    <t>490 - Settlement Invoice total</t>
  </si>
  <si>
    <t>Undo Monthly Booking</t>
  </si>
  <si>
    <t>Agreement and agreement Line</t>
  </si>
  <si>
    <t>Termination Invoicing</t>
  </si>
  <si>
    <t>Monthly booking</t>
  </si>
  <si>
    <t>The Monthly Interest from  the Monthly Recognition Table using booking month. Only primary period.</t>
  </si>
  <si>
    <t>Monthly Interest(Primary)</t>
  </si>
  <si>
    <t>XUK015 - Monthly Interest(Primary)</t>
  </si>
  <si>
    <t>21 (Monthly Booking)</t>
  </si>
  <si>
    <t>Reverse Invoice bookings for an Invoice</t>
  </si>
  <si>
    <t>um</t>
  </si>
  <si>
    <t>USG401- Remaining Non Current Rent</t>
  </si>
  <si>
    <t>Residual Value at agreeement line end Date</t>
  </si>
  <si>
    <t>4A1544</t>
  </si>
  <si>
    <t>5K2060</t>
  </si>
  <si>
    <t>310 - Monthly Depreciation</t>
  </si>
  <si>
    <t xml:space="preserve">The Monthly Depreciation from  the Monthly Recognition </t>
  </si>
  <si>
    <t>381 - Monthly Interest</t>
  </si>
  <si>
    <t>The Monthly Interest from  the Monthly Recognition</t>
  </si>
  <si>
    <t>FP5652</t>
  </si>
  <si>
    <t>AN3832</t>
  </si>
  <si>
    <t>014 -Fixed Asset(US GAAP)</t>
  </si>
  <si>
    <t>DT4970</t>
  </si>
  <si>
    <t>Present Value on Basic Price</t>
  </si>
  <si>
    <t>XUK410 - Present Value on Basic Price</t>
  </si>
  <si>
    <t>el2</t>
  </si>
  <si>
    <t>520 ITA - Termination Profit</t>
  </si>
  <si>
    <t>522 ITA  - Termination Loss</t>
  </si>
  <si>
    <t>400  ITA - Termination Value</t>
  </si>
  <si>
    <t>USG400 ITA -Remaining Current Rent</t>
  </si>
  <si>
    <t>USG401 ITA - Remaining Non Current Rent</t>
  </si>
  <si>
    <t>USG402  ITA - Remaining Current Interest</t>
  </si>
  <si>
    <t>USG403  ITA - Remaining Non Current Interest</t>
  </si>
  <si>
    <t>63A003</t>
  </si>
  <si>
    <t>EK5250</t>
  </si>
  <si>
    <t>EG5202</t>
  </si>
  <si>
    <t>8C3000</t>
  </si>
  <si>
    <t xml:space="preserve">211 (US GAAP) - Customer Invoice Tax </t>
  </si>
  <si>
    <t>255 (US GAAP)  - Customer Invoice Added Cost</t>
  </si>
  <si>
    <t>Decimal adjustment, roundings</t>
  </si>
  <si>
    <t>610 ITA - Customer On-Account payment</t>
  </si>
  <si>
    <t>611 ITA - Agreement On-Account payment</t>
  </si>
  <si>
    <t xml:space="preserve">612 ITA - Unallocated Payment </t>
  </si>
  <si>
    <t>609 ITA - Paid Amount</t>
  </si>
  <si>
    <t>609 ITA US GAAP - Paid Amount</t>
  </si>
  <si>
    <t>Monthly Depreciation</t>
  </si>
  <si>
    <t>The Monthly Depreciation from  the Monthly Recognition Table using Booking month.</t>
  </si>
  <si>
    <t>Monthly Interest income</t>
  </si>
  <si>
    <t>The Monthly Interest from  the Monthly Recognition Table using booking month.</t>
  </si>
  <si>
    <t>Entity = Organization Unit</t>
  </si>
  <si>
    <t>PF</t>
  </si>
  <si>
    <t>AR-Inv</t>
  </si>
  <si>
    <t>AR-Pay</t>
  </si>
  <si>
    <t>AP-Pay</t>
  </si>
  <si>
    <t>AP-Inv</t>
  </si>
  <si>
    <t>AP Invoicing</t>
  </si>
  <si>
    <t>ALS NLD - AR Payment  - Local Legal</t>
  </si>
  <si>
    <t>ALS SFB - AR Payment  - Local Legal</t>
  </si>
  <si>
    <t>ALS ITA - AR Payment  - Local Legal</t>
  </si>
  <si>
    <t>ALS ITA - AR Payment  - US GAAP</t>
  </si>
  <si>
    <t>1 (PF Agreement - Local Legal)</t>
  </si>
  <si>
    <t>3 (AR Invoicing - Local Legal)</t>
  </si>
  <si>
    <t>4 (AR Payment - Local Legal)</t>
  </si>
  <si>
    <t>2 (PF Agreement - US GAAP)</t>
  </si>
  <si>
    <t>5 (PF Agreement - Local Legal)</t>
  </si>
  <si>
    <t>7 (AR Invoicing - Local Legal)</t>
  </si>
  <si>
    <t>8 (AR Payment - Local Legal)</t>
  </si>
  <si>
    <t>6 (PF Agreement - US GAAP)</t>
  </si>
  <si>
    <t>9 (PF Agreement - Local Legal)</t>
  </si>
  <si>
    <t>10 (PF Agreement - US GAAP)</t>
  </si>
  <si>
    <t>11 (AR Invoicing - Local Legal)</t>
  </si>
  <si>
    <t>12 (AR Invoicing - US GAAP)</t>
  </si>
  <si>
    <t>13 (AR Payment - Local Legal)</t>
  </si>
  <si>
    <t>14 (AR Payment - US GAAP)</t>
  </si>
  <si>
    <t>I66540</t>
  </si>
  <si>
    <t>Vat Output</t>
  </si>
  <si>
    <t>002.0022.216505</t>
  </si>
  <si>
    <t>Interest Revenue</t>
  </si>
  <si>
    <t>002.0022.420005</t>
  </si>
  <si>
    <t>Fee Income</t>
  </si>
  <si>
    <t>002.0022.420100</t>
  </si>
  <si>
    <t>Gain/Loss On Lease Termination</t>
  </si>
  <si>
    <t>002.0022.420420</t>
  </si>
  <si>
    <t>Bad Debt Expense</t>
  </si>
  <si>
    <t>002.0022.420700</t>
  </si>
  <si>
    <t>Bank</t>
  </si>
  <si>
    <t>Deposit liability</t>
  </si>
  <si>
    <t>Fixed asset</t>
  </si>
  <si>
    <t>4A15441</t>
  </si>
  <si>
    <t>Inventory</t>
  </si>
  <si>
    <t>5K20600</t>
  </si>
  <si>
    <t>AR customer</t>
  </si>
  <si>
    <t>63A00316</t>
  </si>
  <si>
    <t>Other fee income</t>
  </si>
  <si>
    <t>EK52505</t>
  </si>
  <si>
    <t>VAT Payable</t>
  </si>
  <si>
    <t>8C30000</t>
  </si>
  <si>
    <t>Rent income (principle)</t>
  </si>
  <si>
    <t>EG52020</t>
  </si>
  <si>
    <t>Interest revenue</t>
  </si>
  <si>
    <t>I665403</t>
  </si>
  <si>
    <t>Depreciation</t>
  </si>
  <si>
    <t>FP56520</t>
  </si>
  <si>
    <t>Cum. depreciation</t>
  </si>
  <si>
    <t>AN38325</t>
  </si>
  <si>
    <t>Cost of goods sold</t>
  </si>
  <si>
    <t>Equipment Purchases</t>
  </si>
  <si>
    <t>002.0022.140000</t>
  </si>
  <si>
    <t>Unapplied Cash</t>
  </si>
  <si>
    <t>002.0022.192020</t>
  </si>
  <si>
    <t>Cash Contra A/C</t>
  </si>
  <si>
    <t>002.0022.192030</t>
  </si>
  <si>
    <t>Lease Rec - Curr Year Volume</t>
  </si>
  <si>
    <t>002.0022.192101</t>
  </si>
  <si>
    <t>Lease Rec - Curr Year Collect</t>
  </si>
  <si>
    <t>Lease Rec - Curr Year Chargeo</t>
  </si>
  <si>
    <t>002.0022.192103</t>
  </si>
  <si>
    <t>Lease Rec - Curr Terminations</t>
  </si>
  <si>
    <t>002.0022.192107</t>
  </si>
  <si>
    <t>Unguaranteed Residual</t>
  </si>
  <si>
    <t>002.0022.192200</t>
  </si>
  <si>
    <t>Unearn Inc- Curr Year Volume</t>
  </si>
  <si>
    <t>002.0022.192401</t>
  </si>
  <si>
    <t>Unearn Inc- Curr Year Amortiza</t>
  </si>
  <si>
    <t>Unearn Inc- Curr Year Chargeof</t>
  </si>
  <si>
    <t>002.0022.192403</t>
  </si>
  <si>
    <t>Unearn Inc- Curr Year Terminat</t>
  </si>
  <si>
    <t>002.0022.192407</t>
  </si>
  <si>
    <t>Customer Other Receivable-Fees</t>
  </si>
  <si>
    <t>002.0022.192500</t>
  </si>
  <si>
    <t>Customer Receivable - Vat Rela</t>
  </si>
  <si>
    <t>002.0022.192600</t>
  </si>
  <si>
    <t>ITA</t>
  </si>
  <si>
    <t>Gain/Loss On Early Termination</t>
  </si>
  <si>
    <t>NLD</t>
  </si>
  <si>
    <t>SFB</t>
  </si>
  <si>
    <t>Pseudo</t>
  </si>
  <si>
    <t>External Description</t>
  </si>
  <si>
    <t>Ext. Pseudo</t>
  </si>
  <si>
    <t>19 (140000)</t>
  </si>
  <si>
    <t>9 (5K2060)</t>
  </si>
  <si>
    <t>8 (4A1544)</t>
  </si>
  <si>
    <t>22 (192101)</t>
  </si>
  <si>
    <t>26 (192200)</t>
  </si>
  <si>
    <t>27 (192401)</t>
  </si>
  <si>
    <t>31 (192500)</t>
  </si>
  <si>
    <t>10 (63A003)</t>
  </si>
  <si>
    <t>1 (216505)</t>
  </si>
  <si>
    <t>12 (8C3000)</t>
  </si>
  <si>
    <t>3 (420100)</t>
  </si>
  <si>
    <t>11 (EK5250)</t>
  </si>
  <si>
    <t>20 (192020)</t>
  </si>
  <si>
    <t>21 (192030)</t>
  </si>
  <si>
    <t>23 (192102)</t>
  </si>
  <si>
    <t>25 (192107)</t>
  </si>
  <si>
    <t>29 (192403)</t>
  </si>
  <si>
    <t>24 (192103)</t>
  </si>
  <si>
    <t>32 (192600)</t>
  </si>
  <si>
    <t>5 (420700)</t>
  </si>
  <si>
    <t>30 (192407)</t>
  </si>
  <si>
    <t>4 (420420)</t>
  </si>
  <si>
    <t>28 (192402)</t>
  </si>
  <si>
    <t>2 (420005)</t>
  </si>
  <si>
    <t>6 (963300)</t>
  </si>
  <si>
    <t>7 (DT4970)</t>
  </si>
  <si>
    <t>14 (166540)</t>
  </si>
  <si>
    <t>13 (EG5202)</t>
  </si>
  <si>
    <t>PseudoAccount</t>
  </si>
  <si>
    <t>ID</t>
  </si>
  <si>
    <t>IFRS Chart Of account</t>
  </si>
  <si>
    <t>US GAAP Chart Of Account</t>
  </si>
  <si>
    <t>order</t>
  </si>
  <si>
    <t>Depth</t>
  </si>
  <si>
    <t>ParentID</t>
  </si>
  <si>
    <t>1000 Assets</t>
  </si>
  <si>
    <t>Account 1000–1999</t>
  </si>
  <si>
    <t>Cash And Financial Assets</t>
  </si>
  <si>
    <t>Account 1000–1199</t>
  </si>
  <si>
    <t>1.1</t>
  </si>
  <si>
    <t>Cash And Cash Equivalents</t>
  </si>
  <si>
    <t>1.1.1</t>
  </si>
  <si>
    <t>Financial Assets (Investments)</t>
  </si>
  <si>
    <t>1.1.2</t>
  </si>
  <si>
    <t>Restricted Cash And Financial Assets</t>
  </si>
  <si>
    <t>1.1.3</t>
  </si>
  <si>
    <t>Additional Financial Assets And Investments</t>
  </si>
  <si>
    <t>1.1.4</t>
  </si>
  <si>
    <t>1200 Receivables And Contracts</t>
  </si>
  <si>
    <t>Account 1200–1299</t>
  </si>
  <si>
    <t>1.2</t>
  </si>
  <si>
    <t>Accounts, Notes And Loans Receivable</t>
  </si>
  <si>
    <t>1.2.1</t>
  </si>
  <si>
    <t>Contracts</t>
  </si>
  <si>
    <t>1.2.2</t>
  </si>
  <si>
    <t>Nontrade And Other Receivables</t>
  </si>
  <si>
    <t>1.2.3</t>
  </si>
  <si>
    <t>1300 - Inventory</t>
  </si>
  <si>
    <t>Account 1300–1399</t>
  </si>
  <si>
    <t>1.3</t>
  </si>
  <si>
    <t>Merchandise</t>
  </si>
  <si>
    <t>1.3.1</t>
  </si>
  <si>
    <t>Raw Material, Parts And Supplies</t>
  </si>
  <si>
    <t>1.3.2</t>
  </si>
  <si>
    <t>Work In Process</t>
  </si>
  <si>
    <t>1.3.3</t>
  </si>
  <si>
    <t>Finished Goods</t>
  </si>
  <si>
    <t>1.3.4</t>
  </si>
  <si>
    <t>Other Inventory</t>
  </si>
  <si>
    <t>1.3.5</t>
  </si>
  <si>
    <t xml:space="preserve">1400 - Prepaid expenses &amp; other current assets </t>
  </si>
  <si>
    <t>Account 1400–1499</t>
  </si>
  <si>
    <t>1.4</t>
  </si>
  <si>
    <t>Prepaid Expense</t>
  </si>
  <si>
    <t>1.4.1</t>
  </si>
  <si>
    <t>Accrued Income</t>
  </si>
  <si>
    <t>1.4.2</t>
  </si>
  <si>
    <t>Additional Assets</t>
  </si>
  <si>
    <t>1.4.3</t>
  </si>
  <si>
    <t>1500 - Property, Plant And Equipment</t>
  </si>
  <si>
    <t>Account 1500–1599</t>
  </si>
  <si>
    <t>1.5</t>
  </si>
  <si>
    <t>Land And Land Improvements</t>
  </si>
  <si>
    <t>1.5.1</t>
  </si>
  <si>
    <t>Buildings, Structures And Improvements</t>
  </si>
  <si>
    <t>1.5.2</t>
  </si>
  <si>
    <t>Machinery And Equipment</t>
  </si>
  <si>
    <t>1.5.3</t>
  </si>
  <si>
    <t>Furniture And Fixtures</t>
  </si>
  <si>
    <t>1.5.4</t>
  </si>
  <si>
    <t>Additional Property, Plant And Equipment</t>
  </si>
  <si>
    <t>1.5.5</t>
  </si>
  <si>
    <t>Construction In Progress</t>
  </si>
  <si>
    <t>1.5.6</t>
  </si>
  <si>
    <t>1600 - Intangible Assets (Excluding Goodwill)</t>
  </si>
  <si>
    <t>Account 1600–1699</t>
  </si>
  <si>
    <t>1.6</t>
  </si>
  <si>
    <t>Intellectual Property</t>
  </si>
  <si>
    <t>1.6.1</t>
  </si>
  <si>
    <t>Computer Software</t>
  </si>
  <si>
    <t>1.6.2</t>
  </si>
  <si>
    <t>Trade And Distribution Assets</t>
  </si>
  <si>
    <t>1.6.3</t>
  </si>
  <si>
    <t>Contracts And Rights</t>
  </si>
  <si>
    <t>1.6.4</t>
  </si>
  <si>
    <t>Right To Use Assets (Classified By Type)</t>
  </si>
  <si>
    <t>1.6.5</t>
  </si>
  <si>
    <t>Other Intangible Assets</t>
  </si>
  <si>
    <t>1.6.6</t>
  </si>
  <si>
    <t>Acquisition In Progress</t>
  </si>
  <si>
    <t>1.6.7</t>
  </si>
  <si>
    <t>1700 - Goodwill</t>
  </si>
  <si>
    <t>1.7</t>
  </si>
  <si>
    <t>2000 - Liabilities</t>
  </si>
  <si>
    <t>Account 2000–2999</t>
  </si>
  <si>
    <t>2100 - Payables</t>
  </si>
  <si>
    <t>Account 2000–2199</t>
  </si>
  <si>
    <t>2.1</t>
  </si>
  <si>
    <t>Trade Payables</t>
  </si>
  <si>
    <t>2.1.1</t>
  </si>
  <si>
    <t>Dividends Payable</t>
  </si>
  <si>
    <t>2.1.2</t>
  </si>
  <si>
    <t>Interest Payable</t>
  </si>
  <si>
    <t>2.1.3</t>
  </si>
  <si>
    <t>Other Payables</t>
  </si>
  <si>
    <t>2.1.4</t>
  </si>
  <si>
    <t>2200 - Accruals And Other Liabilities</t>
  </si>
  <si>
    <t>Account 2200–2299</t>
  </si>
  <si>
    <t>2.2</t>
  </si>
  <si>
    <t>Accrued Expenses</t>
  </si>
  <si>
    <t>2.2.1</t>
  </si>
  <si>
    <t>Deferred Income And Refund Liabilities</t>
  </si>
  <si>
    <t>2.2.2</t>
  </si>
  <si>
    <t>Accrued Taxes (Other Than Payroll)</t>
  </si>
  <si>
    <t>2.2.3</t>
  </si>
  <si>
    <t>Other Liabilities</t>
  </si>
  <si>
    <t>2.2.4</t>
  </si>
  <si>
    <t>2300 - Financial Labilities</t>
  </si>
  <si>
    <t>Account 2300–2399</t>
  </si>
  <si>
    <t>2.3</t>
  </si>
  <si>
    <t>Notes Payable</t>
  </si>
  <si>
    <t>2.3.1</t>
  </si>
  <si>
    <t>Loans Payable</t>
  </si>
  <si>
    <t>2.3.2</t>
  </si>
  <si>
    <t>Bonds (Debentures)</t>
  </si>
  <si>
    <t>2.3.3</t>
  </si>
  <si>
    <t>Other Debts And Borrowings</t>
  </si>
  <si>
    <t>2.3.4</t>
  </si>
  <si>
    <t>Lease Obligations</t>
  </si>
  <si>
    <t>2.3.5</t>
  </si>
  <si>
    <t>Derivative Financial Liabilities</t>
  </si>
  <si>
    <t>2.3.6</t>
  </si>
  <si>
    <t>2400 - Provisions (Contingencies)</t>
  </si>
  <si>
    <t>Account 2400–2499</t>
  </si>
  <si>
    <t>2.4</t>
  </si>
  <si>
    <t>Customer Related Provisions</t>
  </si>
  <si>
    <t>2.4.1</t>
  </si>
  <si>
    <t>Litigation And Regulatory</t>
  </si>
  <si>
    <t>2.4.2</t>
  </si>
  <si>
    <t>Additional Provisions</t>
  </si>
  <si>
    <t>2.4.3</t>
  </si>
  <si>
    <t>3000 - Equity</t>
  </si>
  <si>
    <t>Account 3000–3999</t>
  </si>
  <si>
    <t>3100 - Owners Equity (Attributable To Owners Of Parent)</t>
  </si>
  <si>
    <t>Account 3000–3199</t>
  </si>
  <si>
    <t>3.1</t>
  </si>
  <si>
    <t>Equity At Par (Issued Capital)</t>
  </si>
  <si>
    <t>3.1.1</t>
  </si>
  <si>
    <t>Additional Paid-In Capital</t>
  </si>
  <si>
    <t>3.1.2</t>
  </si>
  <si>
    <t>3200 - Retained Earnings</t>
  </si>
  <si>
    <t>Account 3200–3299</t>
  </si>
  <si>
    <t>3.2</t>
  </si>
  <si>
    <t>Appropriated</t>
  </si>
  <si>
    <t>3.2.1</t>
  </si>
  <si>
    <t>Unappropriated</t>
  </si>
  <si>
    <t>3.2.2</t>
  </si>
  <si>
    <t>Deficit</t>
  </si>
  <si>
    <t>3.2.3</t>
  </si>
  <si>
    <t>In Suspense</t>
  </si>
  <si>
    <t>3.2.4</t>
  </si>
  <si>
    <t>3300 - Accumulated OCI</t>
  </si>
  <si>
    <t>Account 3300–3399</t>
  </si>
  <si>
    <t>3.3</t>
  </si>
  <si>
    <t>Exchange Differences On Translation</t>
  </si>
  <si>
    <t>3.3.1</t>
  </si>
  <si>
    <t>Remeasurements Cash Flow Hedges</t>
  </si>
  <si>
    <t>3.3.2</t>
  </si>
  <si>
    <t>Remeasurements Available-For-Sale Financial Assets</t>
  </si>
  <si>
    <t>3.3.3</t>
  </si>
  <si>
    <t>Remeasurement Of Defined Benefit Plans</t>
  </si>
  <si>
    <t>3.3.4</t>
  </si>
  <si>
    <t>3400 - Other Equity Items</t>
  </si>
  <si>
    <t>Account 3400–3499</t>
  </si>
  <si>
    <t>3.4</t>
  </si>
  <si>
    <t>ESOP Related Items</t>
  </si>
  <si>
    <t>3.4.1</t>
  </si>
  <si>
    <t>Subscribed Stock Receivables</t>
  </si>
  <si>
    <t>3.4.2</t>
  </si>
  <si>
    <t>Treasury Stock</t>
  </si>
  <si>
    <t>3.4.3</t>
  </si>
  <si>
    <t>Miscellaneous Equity</t>
  </si>
  <si>
    <t>3.4.4</t>
  </si>
  <si>
    <t>3500 - Non-controlling (Minority) Interest</t>
  </si>
  <si>
    <t>Account 3500–3599</t>
  </si>
  <si>
    <t>3.5</t>
  </si>
  <si>
    <t>4000 - Revenue</t>
  </si>
  <si>
    <t>Account 4000–4999</t>
  </si>
  <si>
    <t>4100 - Recognized Point Of Time</t>
  </si>
  <si>
    <t>Account 4100–4199</t>
  </si>
  <si>
    <t>4.1</t>
  </si>
  <si>
    <t>Goods</t>
  </si>
  <si>
    <t>4.1.1</t>
  </si>
  <si>
    <t>Services</t>
  </si>
  <si>
    <t>4.1.2</t>
  </si>
  <si>
    <t>4200 - Recognized Over Time</t>
  </si>
  <si>
    <t>Account 4200–4299</t>
  </si>
  <si>
    <t>4.2</t>
  </si>
  <si>
    <t>Products</t>
  </si>
  <si>
    <t>4.2.1</t>
  </si>
  <si>
    <t>4.2.2</t>
  </si>
  <si>
    <t>4300 - Adjustments</t>
  </si>
  <si>
    <t>Account 4300–4399</t>
  </si>
  <si>
    <t>4.3</t>
  </si>
  <si>
    <t>Variable Consideration</t>
  </si>
  <si>
    <t>4.3.1</t>
  </si>
  <si>
    <t>Consideration Paid (Payable) To Customers</t>
  </si>
  <si>
    <t>4.3.2</t>
  </si>
  <si>
    <t>Other Adjustments</t>
  </si>
  <si>
    <t>4.3.3</t>
  </si>
  <si>
    <t>5000 - Expenses(Cost of goods)</t>
  </si>
  <si>
    <t>Account 5000–5999</t>
  </si>
  <si>
    <t>Expenses Classified By Nature</t>
  </si>
  <si>
    <t>Account 5100–5199</t>
  </si>
  <si>
    <t>5.1</t>
  </si>
  <si>
    <t>Material And Merchandise</t>
  </si>
  <si>
    <t>5.1.1</t>
  </si>
  <si>
    <t>Employee Benefits</t>
  </si>
  <si>
    <t>5.1.2</t>
  </si>
  <si>
    <t>5.1.3</t>
  </si>
  <si>
    <t>Rent, Depreciation, Amortization And Depletion</t>
  </si>
  <si>
    <t>5.1.4</t>
  </si>
  <si>
    <t>Expenses Classified By Function</t>
  </si>
  <si>
    <t>Account 5200–5299</t>
  </si>
  <si>
    <t>5.2</t>
  </si>
  <si>
    <t>Cost Of Sales</t>
  </si>
  <si>
    <t>5.2.1</t>
  </si>
  <si>
    <t>Selling, General And Administrative</t>
  </si>
  <si>
    <t>5.2.2</t>
  </si>
  <si>
    <t>Uncollectible Accounts Expense</t>
  </si>
  <si>
    <t>5.2.3</t>
  </si>
  <si>
    <t>6000 - Other (Non-Operating) Income And Expenses</t>
  </si>
  <si>
    <t>Account 6000–6999</t>
  </si>
  <si>
    <t>Other Revenue And Expenses</t>
  </si>
  <si>
    <t>Account 6100–6199</t>
  </si>
  <si>
    <t>6.1</t>
  </si>
  <si>
    <t>Other Revenue</t>
  </si>
  <si>
    <t>6.1.1</t>
  </si>
  <si>
    <t>Other Expenses</t>
  </si>
  <si>
    <t>6.1.2</t>
  </si>
  <si>
    <t>Gains And Losses</t>
  </si>
  <si>
    <t>Account 6200–6299</t>
  </si>
  <si>
    <t>6.2</t>
  </si>
  <si>
    <t>Foreign Currency Transaction Gain (Loss)</t>
  </si>
  <si>
    <t>6.2.1</t>
  </si>
  <si>
    <t>Gain (Loss) On Investments</t>
  </si>
  <si>
    <t>6.2.2</t>
  </si>
  <si>
    <t>Gain (Loss) On Derivatives</t>
  </si>
  <si>
    <t>6.2.3</t>
  </si>
  <si>
    <t>Gain (Loss) On Disposal Of Assets</t>
  </si>
  <si>
    <t>6.2.4</t>
  </si>
  <si>
    <t>Debt Related Gain (Loss)</t>
  </si>
  <si>
    <t>6.2.5</t>
  </si>
  <si>
    <t>Impairment Loss</t>
  </si>
  <si>
    <t>6.2.6</t>
  </si>
  <si>
    <t>Other Gains And (Losses)</t>
  </si>
  <si>
    <t>6.2.7</t>
  </si>
  <si>
    <t>Taxes (Other Than Income And Payroll) And Fees</t>
  </si>
  <si>
    <t>Account 6300–6399</t>
  </si>
  <si>
    <t>6.3</t>
  </si>
  <si>
    <t>Real Estate Taxes And Insurance</t>
  </si>
  <si>
    <t>6.3.1</t>
  </si>
  <si>
    <t>Highway (Road) Taxes And Tolls</t>
  </si>
  <si>
    <t>6.3.2</t>
  </si>
  <si>
    <t>Direct Tax And License Fees</t>
  </si>
  <si>
    <t>6.3.3</t>
  </si>
  <si>
    <t>Excise And Sales Taxes</t>
  </si>
  <si>
    <t>6.3.4</t>
  </si>
  <si>
    <t>Customs Fees And Duties (Not Classified As Sales Or Excise)</t>
  </si>
  <si>
    <t>6.3.5</t>
  </si>
  <si>
    <t>Non-Deductible VAT (GST)</t>
  </si>
  <si>
    <t>6.3.6</t>
  </si>
  <si>
    <t>General Insurance Expense</t>
  </si>
  <si>
    <t>6.3.7</t>
  </si>
  <si>
    <t>Administrative Fees (Revenue Stamps)</t>
  </si>
  <si>
    <t>6.3.8</t>
  </si>
  <si>
    <t>Fines And Penalties</t>
  </si>
  <si>
    <t>6.3.9</t>
  </si>
  <si>
    <t>Miscellaneous Taxes</t>
  </si>
  <si>
    <t>6.3.10</t>
  </si>
  <si>
    <t>Other Taxes And Fees</t>
  </si>
  <si>
    <t>6.3.11</t>
  </si>
  <si>
    <t>Income Tax Expense (Benefit)</t>
  </si>
  <si>
    <t>Account 6400–6499</t>
  </si>
  <si>
    <t>6.4</t>
  </si>
  <si>
    <t>7000 - Intercompany And Related Party Accounts</t>
  </si>
  <si>
    <t>Account 7000–7999</t>
  </si>
  <si>
    <t>Intercompany And Related Party Assets</t>
  </si>
  <si>
    <t>Account 7100–7199</t>
  </si>
  <si>
    <t>7.1</t>
  </si>
  <si>
    <t>Intercompany Balances (Eliminated In Consolidation)</t>
  </si>
  <si>
    <t>7.1.1</t>
  </si>
  <si>
    <t>Related Party Balances (Reported Or Disclosed)</t>
  </si>
  <si>
    <t>7.1.2</t>
  </si>
  <si>
    <t>Intercompany Investments</t>
  </si>
  <si>
    <t>7.1.3</t>
  </si>
  <si>
    <t>Intercompany And Related Party Liabilities</t>
  </si>
  <si>
    <t>Account 7200–7299</t>
  </si>
  <si>
    <t>7.2</t>
  </si>
  <si>
    <t>7.2.1</t>
  </si>
  <si>
    <t>7.2.2</t>
  </si>
  <si>
    <t>Intercompany And Related Party Income And Expense</t>
  </si>
  <si>
    <t>Account 7300–7399</t>
  </si>
  <si>
    <t>7.3</t>
  </si>
  <si>
    <t>Intercompany And Related Party Income</t>
  </si>
  <si>
    <t>7.3.1</t>
  </si>
  <si>
    <t>Intercompany And Related Party Expenses</t>
  </si>
  <si>
    <t>7.3.2</t>
  </si>
  <si>
    <t>Income (Loss) From Equity Method Investments</t>
  </si>
  <si>
    <t>7.3.3</t>
  </si>
  <si>
    <t>CHART OF ACCOUNT</t>
  </si>
  <si>
    <t>Chart of Account Plan</t>
  </si>
  <si>
    <t>COF ID</t>
  </si>
  <si>
    <t>COA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</si>
</sst>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Wingdings"/>
      <charset val="2"/>
    </font>
    <font>
      <sz val="10"/>
      <color rgb="FF000000"/>
      <name val="Wingdings"/>
      <charset val="2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rgb="FF4C4948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Lato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rgb="FFF2F4F8"/>
      </left>
      <right style="dotted">
        <color rgb="FFF2F4F8"/>
      </right>
      <top style="dotted">
        <color rgb="FFF2F4F8"/>
      </top>
      <bottom style="dotted">
        <color rgb="FFF2F4F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0" xfId="0" applyFont="1"/>
    <xf numFmtId="0" fontId="0" fillId="0" borderId="3" xfId="0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1" fillId="3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9" fillId="0" borderId="5" xfId="0" applyFont="1" applyBorder="1" applyAlignment="1">
      <alignment horizontal="left" vertical="center"/>
    </xf>
    <xf numFmtId="0" fontId="1" fillId="3" borderId="2" xfId="0" applyFont="1" applyFill="1" applyBorder="1"/>
    <xf numFmtId="0" fontId="10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197624</xdr:colOff>
      <xdr:row>10</xdr:row>
      <xdr:rowOff>19050</xdr:rowOff>
    </xdr:from>
    <xdr:to>
      <xdr:col>11</xdr:col>
      <xdr:colOff>164326</xdr:colOff>
      <xdr:row>10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7618B6A-208B-56A7-BF74-185E1B1A162A}"/>
            </a:ext>
          </a:extLst>
        </xdr:cNvPr>
        <xdr:cNvCxnSpPr/>
      </xdr:nvCxnSpPr>
      <xdr:spPr>
        <a:xfrm>
          <a:off x="7055624" y="2000250"/>
          <a:ext cx="3424277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8</xdr:row>
      <xdr:rowOff>9525</xdr:rowOff>
    </xdr:from>
    <xdr:to>
      <xdr:col>12</xdr:col>
      <xdr:colOff>285750</xdr:colOff>
      <xdr:row>10</xdr:row>
      <xdr:rowOff>76200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B030157-ED4B-31BF-46D4-AEC5ED15DA61}"/>
            </a:ext>
          </a:extLst>
        </xdr:cNvPr>
        <xdr:cNvCxnSpPr/>
      </xdr:nvCxnSpPr>
      <xdr:spPr>
        <a:xfrm flipV="1">
          <a:off x="11210925" y="1609725"/>
          <a:ext cx="0" cy="4476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10</xdr:row>
      <xdr:rowOff>19050</xdr:rowOff>
    </xdr:from>
    <xdr:to>
      <xdr:col>6</xdr:col>
      <xdr:colOff>200025</xdr:colOff>
      <xdr:row>11</xdr:row>
      <xdr:rowOff>257175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0476E65-CB2D-0E16-0B65-EF1AC0EB53D8}"/>
            </a:ext>
          </a:extLst>
        </xdr:cNvPr>
        <xdr:cNvCxnSpPr/>
      </xdr:nvCxnSpPr>
      <xdr:spPr>
        <a:xfrm>
          <a:off x="7058025" y="2000250"/>
          <a:ext cx="0" cy="4286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17</xdr:row>
      <xdr:rowOff>9525</xdr:rowOff>
    </xdr:from>
    <xdr:to>
      <xdr:col>9</xdr:col>
      <xdr:colOff>533400</xdr:colOff>
      <xdr:row>19</xdr:row>
      <xdr:rowOff>19050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46556F4-37E2-6336-A30C-6A3FF486CE01}"/>
            </a:ext>
          </a:extLst>
        </xdr:cNvPr>
        <xdr:cNvCxnSpPr/>
      </xdr:nvCxnSpPr>
      <xdr:spPr>
        <a:xfrm flipV="1">
          <a:off x="9763125" y="3400425"/>
          <a:ext cx="0" cy="390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176213</xdr:colOff>
      <xdr:row>16</xdr:row>
      <xdr:rowOff>42863</xdr:rowOff>
    </xdr:from>
    <xdr:to>
      <xdr:col>9</xdr:col>
      <xdr:colOff>852488</xdr:colOff>
      <xdr:row>16</xdr:row>
      <xdr:rowOff>176213</xdr:rowOff>
    </xdr:to>
    <xdr:sp macro="" textlink="">
      <xdr:nvSpPr>
        <xdr:cNvPr id="25" name="Left Brace 24">
          <a:extLst>
            <a:ext uri="{FF2B5EF4-FFF2-40B4-BE49-F238E27FC236}">
              <a16:creationId xmlns:a16="http://schemas.microsoft.com/office/drawing/2014/main" id="{5E8A082A-8D42-D0AE-098B-C89A0E473DE1}"/>
            </a:ext>
          </a:extLst>
        </xdr:cNvPr>
        <xdr:cNvSpPr/>
      </xdr:nvSpPr>
      <xdr:spPr>
        <a:xfrm rot="16200000">
          <a:off x="9677401" y="2971800"/>
          <a:ext cx="133350" cy="676275"/>
        </a:xfrm>
        <a:prstGeom prst="lef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11</xdr:col>
      <xdr:colOff>84820</xdr:colOff>
      <xdr:row>14</xdr:row>
      <xdr:rowOff>104775</xdr:rowOff>
    </xdr:from>
    <xdr:to>
      <xdr:col>11</xdr:col>
      <xdr:colOff>439055</xdr:colOff>
      <xdr:row>14</xdr:row>
      <xdr:rowOff>109538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F36C7263-4D8D-1680-1DF4-3D5151B13A6A}"/>
            </a:ext>
          </a:extLst>
        </xdr:cNvPr>
        <xdr:cNvCxnSpPr/>
      </xdr:nvCxnSpPr>
      <xdr:spPr>
        <a:xfrm flipH="1" flipV="1">
          <a:off x="10400395" y="2924175"/>
          <a:ext cx="354235" cy="47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1057275</xdr:colOff>
      <xdr:row>12</xdr:row>
      <xdr:rowOff>152400</xdr:rowOff>
    </xdr:from>
    <xdr:to>
      <xdr:col>11</xdr:col>
      <xdr:colOff>66675</xdr:colOff>
      <xdr:row>16</xdr:row>
      <xdr:rowOff>38100</xdr:rowOff>
    </xdr:to>
    <xdr:sp macro="" textlink="">
      <xdr:nvSpPr>
        <xdr:cNvPr id="28" name="Right Brace 27">
          <a:extLst>
            <a:ext uri="{FF2B5EF4-FFF2-40B4-BE49-F238E27FC236}">
              <a16:creationId xmlns:a16="http://schemas.microsoft.com/office/drawing/2014/main" id="{BE68013E-E67D-E6E6-49B2-63FAE334B829}"/>
            </a:ext>
          </a:extLst>
        </xdr:cNvPr>
        <xdr:cNvSpPr/>
      </xdr:nvSpPr>
      <xdr:spPr>
        <a:xfrm>
          <a:off x="11372850" y="2590800"/>
          <a:ext cx="95250" cy="647700"/>
        </a:xfrm>
        <a:prstGeom prst="rightBrace">
          <a:avLst>
            <a:gd name="adj1" fmla="val 8333"/>
            <a:gd name="adj2" fmla="val 48551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11</xdr:col>
      <xdr:colOff>295275</xdr:colOff>
      <xdr:row>9</xdr:row>
      <xdr:rowOff>85725</xdr:rowOff>
    </xdr:from>
    <xdr:to>
      <xdr:col>18</xdr:col>
      <xdr:colOff>323850</xdr:colOff>
      <xdr:row>9</xdr:row>
      <xdr:rowOff>95250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48B1D28-C799-B901-81EB-3684CBD8C7E1}"/>
            </a:ext>
          </a:extLst>
        </xdr:cNvPr>
        <xdr:cNvCxnSpPr/>
      </xdr:nvCxnSpPr>
      <xdr:spPr>
        <a:xfrm>
          <a:off x="10610850" y="1876425"/>
          <a:ext cx="4143375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371475</xdr:colOff>
      <xdr:row>8</xdr:row>
      <xdr:rowOff>7890</xdr:rowOff>
    </xdr:from>
    <xdr:to>
      <xdr:col>20</xdr:col>
      <xdr:colOff>381000</xdr:colOff>
      <xdr:row>10</xdr:row>
      <xdr:rowOff>134985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4308B5-4BF2-B35F-6295-AAA5C0FAE1D6}"/>
            </a:ext>
          </a:extLst>
        </xdr:cNvPr>
        <xdr:cNvCxnSpPr/>
      </xdr:nvCxnSpPr>
      <xdr:spPr>
        <a:xfrm flipH="1" flipV="1">
          <a:off x="16021050" y="1608090"/>
          <a:ext cx="9525" cy="50809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8</xdr:row>
      <xdr:rowOff>0</xdr:rowOff>
    </xdr:from>
    <xdr:to>
      <xdr:col>11</xdr:col>
      <xdr:colOff>295275</xdr:colOff>
      <xdr:row>9</xdr:row>
      <xdr:rowOff>95250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9805DD2-49D2-834F-0698-17C3D39F965E}"/>
            </a:ext>
          </a:extLst>
        </xdr:cNvPr>
        <xdr:cNvCxnSpPr/>
      </xdr:nvCxnSpPr>
      <xdr:spPr>
        <a:xfrm flipV="1">
          <a:off x="10610850" y="1600200"/>
          <a:ext cx="0" cy="2857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323850</xdr:colOff>
      <xdr:row>8</xdr:row>
      <xdr:rowOff>28575</xdr:rowOff>
    </xdr:from>
    <xdr:to>
      <xdr:col>18</xdr:col>
      <xdr:colOff>323850</xdr:colOff>
      <xdr:row>9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FACB30E-8428-4288-0EBC-2172D007DDE7}"/>
            </a:ext>
          </a:extLst>
        </xdr:cNvPr>
        <xdr:cNvCxnSpPr/>
      </xdr:nvCxnSpPr>
      <xdr:spPr>
        <a:xfrm flipV="1">
          <a:off x="14754225" y="1628775"/>
          <a:ext cx="0" cy="2571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10</xdr:row>
      <xdr:rowOff>85725</xdr:rowOff>
    </xdr:from>
    <xdr:to>
      <xdr:col>20</xdr:col>
      <xdr:colOff>381000</xdr:colOff>
      <xdr:row>10</xdr:row>
      <xdr:rowOff>142875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DE780A1-11AD-506F-AA9C-4476E247F294}"/>
            </a:ext>
          </a:extLst>
        </xdr:cNvPr>
        <xdr:cNvCxnSpPr/>
      </xdr:nvCxnSpPr>
      <xdr:spPr>
        <a:xfrm>
          <a:off x="2200275" y="2066925"/>
          <a:ext cx="13830300" cy="571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390525</xdr:colOff>
      <xdr:row>10</xdr:row>
      <xdr:rowOff>78627</xdr:rowOff>
    </xdr:from>
    <xdr:to>
      <xdr:col>3</xdr:col>
      <xdr:colOff>390525</xdr:colOff>
      <xdr:row>11</xdr:row>
      <xdr:rowOff>83298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DFFF808-0F6E-9D8C-5520-B83EF2D30932}"/>
            </a:ext>
          </a:extLst>
        </xdr:cNvPr>
        <xdr:cNvCxnSpPr/>
      </xdr:nvCxnSpPr>
      <xdr:spPr>
        <a:xfrm>
          <a:off x="2219325" y="2059827"/>
          <a:ext cx="0" cy="1951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8</xdr:row>
      <xdr:rowOff>9525</xdr:rowOff>
    </xdr:from>
    <xdr:to>
      <xdr:col>11</xdr:col>
      <xdr:colOff>161925</xdr:colOff>
      <xdr:row>10</xdr:row>
      <xdr:rowOff>38100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75BB37A-E7BB-184F-3F13-27408FE62AF2}"/>
            </a:ext>
          </a:extLst>
        </xdr:cNvPr>
        <xdr:cNvCxnSpPr/>
      </xdr:nvCxnSpPr>
      <xdr:spPr>
        <a:xfrm flipV="1">
          <a:off x="10477500" y="1609725"/>
          <a:ext cx="0" cy="4095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123825</xdr:colOff>
      <xdr:row>16</xdr:row>
      <xdr:rowOff>79981</xdr:rowOff>
    </xdr:from>
    <xdr:to>
      <xdr:col>18</xdr:col>
      <xdr:colOff>152400</xdr:colOff>
      <xdr:row>19</xdr:row>
      <xdr:rowOff>162039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C7B248-A099-A79B-ECA7-B898DCD3A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34850" y="3280381"/>
          <a:ext cx="3533775" cy="653558"/>
        </a:xfrm>
        <a:prstGeom prst="rect">
          <a:avLst/>
        </a:prstGeom>
      </xdr:spPr>
    </xdr:pic>
    <xdr:clientData/>
  </xdr:twoCellAnchor>
  <xdr:twoCellAnchor>
    <xdr:from>
      <xdr:col>10</xdr:col>
      <xdr:colOff>561976</xdr:colOff>
      <xdr:row>16</xdr:row>
      <xdr:rowOff>38101</xdr:rowOff>
    </xdr:from>
    <xdr:to>
      <xdr:col>12</xdr:col>
      <xdr:colOff>57151</xdr:colOff>
      <xdr:row>19</xdr:row>
      <xdr:rowOff>66678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C9176F75-9C30-FB3E-FAA1-587A50B59D69}"/>
            </a:ext>
          </a:extLst>
        </xdr:cNvPr>
        <xdr:cNvCxnSpPr/>
      </xdr:nvCxnSpPr>
      <xdr:spPr>
        <a:xfrm rot="10800000">
          <a:off x="10877551" y="3238501"/>
          <a:ext cx="1190625" cy="600077"/>
        </a:xfrm>
        <a:prstGeom prst="bentConnector3">
          <a:avLst>
            <a:gd name="adj1" fmla="val 996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17</xdr:row>
      <xdr:rowOff>85725</xdr:rowOff>
    </xdr:from>
    <xdr:to>
      <xdr:col>4</xdr:col>
      <xdr:colOff>323850</xdr:colOff>
      <xdr:row>17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9B0DE99-C69C-9EF2-ECF8-3BD71105BABA}"/>
            </a:ext>
          </a:extLst>
        </xdr:cNvPr>
        <xdr:cNvCxnSpPr/>
      </xdr:nvCxnSpPr>
      <xdr:spPr>
        <a:xfrm flipV="1">
          <a:off x="514350" y="3400425"/>
          <a:ext cx="2247900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17</xdr:row>
      <xdr:rowOff>123825</xdr:rowOff>
    </xdr:from>
    <xdr:to>
      <xdr:col>7</xdr:col>
      <xdr:colOff>1016166</xdr:colOff>
      <xdr:row>17</xdr:row>
      <xdr:rowOff>123825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80664C-86E5-47D3-8BA5-251BE68DA265}"/>
            </a:ext>
          </a:extLst>
        </xdr:cNvPr>
        <xdr:cNvCxnSpPr/>
      </xdr:nvCxnSpPr>
      <xdr:spPr>
        <a:xfrm>
          <a:off x="3771900" y="3438525"/>
          <a:ext cx="256874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17</xdr:row>
      <xdr:rowOff>123825</xdr:rowOff>
    </xdr:from>
    <xdr:to>
      <xdr:col>5</xdr:col>
      <xdr:colOff>600075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77F5B0A-03E4-7D7C-DEB3-4A48F52AB05B}"/>
            </a:ext>
          </a:extLst>
        </xdr:cNvPr>
        <xdr:cNvCxnSpPr/>
      </xdr:nvCxnSpPr>
      <xdr:spPr>
        <a:xfrm>
          <a:off x="3781425" y="3438525"/>
          <a:ext cx="0" cy="838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17</xdr:row>
      <xdr:rowOff>114300</xdr:rowOff>
    </xdr:from>
    <xdr:to>
      <xdr:col>4</xdr:col>
      <xdr:colOff>323850</xdr:colOff>
      <xdr:row>22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042C24C-8D75-8739-100C-FB86935C3E12}"/>
            </a:ext>
          </a:extLst>
        </xdr:cNvPr>
        <xdr:cNvCxnSpPr/>
      </xdr:nvCxnSpPr>
      <xdr:spPr>
        <a:xfrm>
          <a:off x="2762250" y="3429000"/>
          <a:ext cx="0" cy="838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14</xdr:row>
      <xdr:rowOff>104775</xdr:rowOff>
    </xdr:from>
    <xdr:to>
      <xdr:col>0</xdr:col>
      <xdr:colOff>514350</xdr:colOff>
      <xdr:row>17</xdr:row>
      <xdr:rowOff>95250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A6FFBAD-AB6C-AA23-FB17-2D4F9810C00A}"/>
            </a:ext>
          </a:extLst>
        </xdr:cNvPr>
        <xdr:cNvCxnSpPr/>
      </xdr:nvCxnSpPr>
      <xdr:spPr>
        <a:xfrm flipV="1">
          <a:off x="504825" y="2771775"/>
          <a:ext cx="9525" cy="6381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1038225</xdr:colOff>
      <xdr:row>16</xdr:row>
      <xdr:rowOff>161925</xdr:rowOff>
    </xdr:from>
    <xdr:to>
      <xdr:col>7</xdr:col>
      <xdr:colOff>1171575</xdr:colOff>
      <xdr:row>22</xdr:row>
      <xdr:rowOff>9525</xdr:rowOff>
    </xdr:to>
    <xdr:sp macro="" textlink="">
      <xdr:nvSpPr>
        <xdr:cNvPr id="17" name="Left Brace 16">
          <a:extLst>
            <a:ext uri="{FF2B5EF4-FFF2-40B4-BE49-F238E27FC236}">
              <a16:creationId xmlns:a16="http://schemas.microsoft.com/office/drawing/2014/main" id="{9D4E9D1A-8902-1172-5A0C-4521C1B6CAD5}"/>
            </a:ext>
          </a:extLst>
        </xdr:cNvPr>
        <xdr:cNvSpPr/>
      </xdr:nvSpPr>
      <xdr:spPr>
        <a:xfrm>
          <a:off x="6362700" y="3286125"/>
          <a:ext cx="133350" cy="990600"/>
        </a:xfrm>
        <a:prstGeom prst="leftBrace">
          <a:avLst>
            <a:gd name="adj1" fmla="val 8333"/>
            <a:gd name="adj2" fmla="val 1699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 editAs="oneCell">
    <xdr:from>
      <xdr:col>0</xdr:col>
      <xdr:colOff>161925</xdr:colOff>
      <xdr:row>2</xdr:row>
      <xdr:rowOff>38100</xdr:rowOff>
    </xdr:from>
    <xdr:to>
      <xdr:col>15</xdr:col>
      <xdr:colOff>695648</xdr:colOff>
      <xdr:row>14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A6F45-860B-9AC8-B6DE-E764B5554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19100"/>
          <a:ext cx="12649523" cy="2409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31</xdr:row>
      <xdr:rowOff>133350</xdr:rowOff>
    </xdr:from>
    <xdr:to>
      <xdr:col>6</xdr:col>
      <xdr:colOff>758991</xdr:colOff>
      <xdr:row>31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FE358B5-7E1E-45BD-AD6E-B8E254C45FF4}"/>
            </a:ext>
          </a:extLst>
        </xdr:cNvPr>
        <xdr:cNvCxnSpPr/>
      </xdr:nvCxnSpPr>
      <xdr:spPr>
        <a:xfrm flipV="1">
          <a:off x="4429125" y="6191250"/>
          <a:ext cx="1340016" cy="190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31</xdr:row>
      <xdr:rowOff>161925</xdr:rowOff>
    </xdr:from>
    <xdr:to>
      <xdr:col>5</xdr:col>
      <xdr:colOff>600075</xdr:colOff>
      <xdr:row>36</xdr:row>
      <xdr:rowOff>47625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57C1D51-49B4-4988-9E6E-A55EDD8D9A4B}"/>
            </a:ext>
          </a:extLst>
        </xdr:cNvPr>
        <xdr:cNvCxnSpPr/>
      </xdr:nvCxnSpPr>
      <xdr:spPr>
        <a:xfrm>
          <a:off x="4438650" y="6219825"/>
          <a:ext cx="0" cy="838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800099</xdr:colOff>
      <xdr:row>31</xdr:row>
      <xdr:rowOff>47625</xdr:rowOff>
    </xdr:from>
    <xdr:to>
      <xdr:col>6</xdr:col>
      <xdr:colOff>942974</xdr:colOff>
      <xdr:row>33</xdr:row>
      <xdr:rowOff>161925</xdr:rowOff>
    </xdr:to>
    <xdr:sp macro="" textlink="">
      <xdr:nvSpPr>
        <xdr:cNvPr id="5" name="Left Brace 4">
          <a:extLst>
            <a:ext uri="{FF2B5EF4-FFF2-40B4-BE49-F238E27FC236}">
              <a16:creationId xmlns:a16="http://schemas.microsoft.com/office/drawing/2014/main" id="{5199E0A8-1FA4-4D21-B065-42FBAE63C605}"/>
            </a:ext>
          </a:extLst>
        </xdr:cNvPr>
        <xdr:cNvSpPr/>
      </xdr:nvSpPr>
      <xdr:spPr>
        <a:xfrm>
          <a:off x="5810249" y="6105525"/>
          <a:ext cx="142875" cy="495300"/>
        </a:xfrm>
        <a:prstGeom prst="leftBrace">
          <a:avLst>
            <a:gd name="adj1" fmla="val 8333"/>
            <a:gd name="adj2" fmla="val 1699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4</xdr:col>
      <xdr:colOff>695325</xdr:colOff>
      <xdr:row>31</xdr:row>
      <xdr:rowOff>114300</xdr:rowOff>
    </xdr:from>
    <xdr:to>
      <xdr:col>4</xdr:col>
      <xdr:colOff>695325</xdr:colOff>
      <xdr:row>36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CE0BB24-BB0F-E5CC-1501-ACFC7AD054CB}"/>
            </a:ext>
          </a:extLst>
        </xdr:cNvPr>
        <xdr:cNvCxnSpPr/>
      </xdr:nvCxnSpPr>
      <xdr:spPr>
        <a:xfrm>
          <a:off x="3133725" y="6172200"/>
          <a:ext cx="0" cy="838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</xdr:row>
      <xdr:rowOff>123825</xdr:rowOff>
    </xdr:from>
    <xdr:to>
      <xdr:col>4</xdr:col>
      <xdr:colOff>701841</xdr:colOff>
      <xdr:row>31</xdr:row>
      <xdr:rowOff>133350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DA02094-26D8-4C0E-B3B2-9384BC7508D2}"/>
            </a:ext>
          </a:extLst>
        </xdr:cNvPr>
        <xdr:cNvCxnSpPr/>
      </xdr:nvCxnSpPr>
      <xdr:spPr>
        <a:xfrm flipV="1">
          <a:off x="2438400" y="6181725"/>
          <a:ext cx="701841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123825</xdr:rowOff>
    </xdr:from>
    <xdr:to>
      <xdr:col>4</xdr:col>
      <xdr:colOff>9525</xdr:colOff>
      <xdr:row>31</xdr:row>
      <xdr:rowOff>142875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FAD3C9A-680C-4AE1-88C4-0B30FBDBD311}"/>
            </a:ext>
          </a:extLst>
        </xdr:cNvPr>
        <xdr:cNvCxnSpPr/>
      </xdr:nvCxnSpPr>
      <xdr:spPr>
        <a:xfrm flipV="1">
          <a:off x="2438400" y="5343525"/>
          <a:ext cx="9525" cy="8572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190500</xdr:colOff>
      <xdr:row>1</xdr:row>
      <xdr:rowOff>1431</xdr:rowOff>
    </xdr:from>
    <xdr:to>
      <xdr:col>14</xdr:col>
      <xdr:colOff>831343</xdr:colOff>
      <xdr:row>29</xdr:row>
      <xdr:rowOff>79375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78DB6A-A5A9-3005-25C0-25254A678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688" y="191931"/>
          <a:ext cx="10999280" cy="54913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0</xdr:row>
      <xdr:rowOff>76200</xdr:rowOff>
    </xdr:from>
    <xdr:to>
      <xdr:col>8</xdr:col>
      <xdr:colOff>813163</xdr:colOff>
      <xdr:row>30</xdr:row>
      <xdr:rowOff>31766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6F3459-FB30-4510-BC52-1961452E6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5" y="76200"/>
          <a:ext cx="6128113" cy="5746766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30</xdr:row>
      <xdr:rowOff>8659</xdr:rowOff>
    </xdr:from>
    <xdr:to>
      <xdr:col>3</xdr:col>
      <xdr:colOff>865909</xdr:colOff>
      <xdr:row>33</xdr:row>
      <xdr:rowOff>164523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69FE5F8-AD34-E2A3-1CB5-8B38DF9C2CD1}"/>
            </a:ext>
          </a:extLst>
        </xdr:cNvPr>
        <xdr:cNvCxnSpPr/>
      </xdr:nvCxnSpPr>
      <xdr:spPr>
        <a:xfrm flipH="1">
          <a:off x="2069523" y="5801591"/>
          <a:ext cx="8659" cy="7273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554183</xdr:colOff>
      <xdr:row>32</xdr:row>
      <xdr:rowOff>60612</xdr:rowOff>
    </xdr:from>
    <xdr:to>
      <xdr:col>12</xdr:col>
      <xdr:colOff>69272</xdr:colOff>
      <xdr:row>34</xdr:row>
      <xdr:rowOff>173177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C6B61EE7-B387-764C-2828-02379444C985}"/>
            </a:ext>
          </a:extLst>
        </xdr:cNvPr>
        <xdr:cNvCxnSpPr/>
      </xdr:nvCxnSpPr>
      <xdr:spPr>
        <a:xfrm rot="10800000" flipV="1">
          <a:off x="3368388" y="6234544"/>
          <a:ext cx="6476998" cy="493565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69272</xdr:colOff>
      <xdr:row>25</xdr:row>
      <xdr:rowOff>17318</xdr:rowOff>
    </xdr:from>
    <xdr:to>
      <xdr:col>12</xdr:col>
      <xdr:colOff>69272</xdr:colOff>
      <xdr:row>32</xdr:row>
      <xdr:rowOff>43295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93B53FB-9D5E-90E2-9B5B-F90E98EE2ED2}"/>
            </a:ext>
          </a:extLst>
        </xdr:cNvPr>
        <xdr:cNvCxnSpPr/>
      </xdr:nvCxnSpPr>
      <xdr:spPr>
        <a:xfrm flipV="1">
          <a:off x="9845386" y="4857750"/>
          <a:ext cx="0" cy="135947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33</xdr:row>
      <xdr:rowOff>114300</xdr:rowOff>
    </xdr:from>
    <xdr:to>
      <xdr:col>8</xdr:col>
      <xdr:colOff>1924050</xdr:colOff>
      <xdr:row>34</xdr:row>
      <xdr:rowOff>152400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AAB6C93D-F9FE-42A7-D6C6-2F819C3E675D}"/>
            </a:ext>
          </a:extLst>
        </xdr:cNvPr>
        <xdr:cNvCxnSpPr/>
      </xdr:nvCxnSpPr>
      <xdr:spPr>
        <a:xfrm rot="10800000" flipV="1">
          <a:off x="5229225" y="6477000"/>
          <a:ext cx="3867150" cy="22860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623455</xdr:colOff>
      <xdr:row>5</xdr:row>
      <xdr:rowOff>121229</xdr:rowOff>
    </xdr:from>
    <xdr:to>
      <xdr:col>28</xdr:col>
      <xdr:colOff>673629</xdr:colOff>
      <xdr:row>21</xdr:row>
      <xdr:rowOff>100880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5BAA646-E569-9870-F2B6-00BD4924F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0069" y="1073729"/>
          <a:ext cx="12060333" cy="3105583"/>
        </a:xfrm>
        <a:prstGeom prst="rect">
          <a:avLst/>
        </a:prstGeom>
      </xdr:spPr>
    </xdr:pic>
    <xdr:clientData/>
  </xdr:twoCellAnchor>
  <xdr:twoCellAnchor>
    <xdr:from>
      <xdr:col>18</xdr:col>
      <xdr:colOff>969818</xdr:colOff>
      <xdr:row>21</xdr:row>
      <xdr:rowOff>155863</xdr:rowOff>
    </xdr:from>
    <xdr:to>
      <xdr:col>18</xdr:col>
      <xdr:colOff>969818</xdr:colOff>
      <xdr:row>27</xdr:row>
      <xdr:rowOff>25977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AC66A53-309F-7224-4EDA-A57491BDFD15}"/>
            </a:ext>
          </a:extLst>
        </xdr:cNvPr>
        <xdr:cNvCxnSpPr/>
      </xdr:nvCxnSpPr>
      <xdr:spPr>
        <a:xfrm>
          <a:off x="18556432" y="4234295"/>
          <a:ext cx="0" cy="10131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853811</xdr:colOff>
      <xdr:row>1</xdr:row>
      <xdr:rowOff>47625</xdr:rowOff>
    </xdr:from>
    <xdr:to>
      <xdr:col>16</xdr:col>
      <xdr:colOff>601802</xdr:colOff>
      <xdr:row>24</xdr:row>
      <xdr:rowOff>162963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6B7383-96F9-62B8-A33B-6AD371731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8861" y="238125"/>
          <a:ext cx="7606116" cy="4573038"/>
        </a:xfrm>
        <a:prstGeom prst="rect">
          <a:avLst/>
        </a:prstGeom>
      </xdr:spPr>
    </xdr:pic>
    <xdr:clientData/>
  </xdr:twoCellAnchor>
  <xdr:twoCellAnchor editAs="oneCell">
    <xdr:from>
      <xdr:col>8</xdr:col>
      <xdr:colOff>809625</xdr:colOff>
      <xdr:row>34</xdr:row>
      <xdr:rowOff>123825</xdr:rowOff>
    </xdr:from>
    <xdr:to>
      <xdr:col>17</xdr:col>
      <xdr:colOff>2297430</xdr:colOff>
      <xdr:row>69</xdr:row>
      <xdr:rowOff>153345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A78410-C9EA-2CC8-B3C4-674734D60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15350" y="6677025"/>
          <a:ext cx="13651230" cy="6773220"/>
        </a:xfrm>
        <a:prstGeom prst="rect">
          <a:avLst/>
        </a:prstGeom>
      </xdr:spPr>
    </xdr:pic>
    <xdr:clientData/>
  </xdr:twoCellAnchor>
  <xdr:twoCellAnchor editAs="oneCell">
    <xdr:from>
      <xdr:col>8</xdr:col>
      <xdr:colOff>1600200</xdr:colOff>
      <xdr:row>69</xdr:row>
      <xdr:rowOff>142875</xdr:rowOff>
    </xdr:from>
    <xdr:to>
      <xdr:col>18</xdr:col>
      <xdr:colOff>525779</xdr:colOff>
      <xdr:row>98</xdr:row>
      <xdr:rowOff>162699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8192DB-FD8A-D205-C570-687BEDB49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72525" y="13439775"/>
          <a:ext cx="13641704" cy="5544324"/>
        </a:xfrm>
        <a:prstGeom prst="rect">
          <a:avLst/>
        </a:prstGeom>
      </xdr:spPr>
    </xdr:pic>
    <xdr:clientData/>
  </xdr:twoCellAnchor>
  <xdr:twoCellAnchor>
    <xdr:from>
      <xdr:col>8</xdr:col>
      <xdr:colOff>1914525</xdr:colOff>
      <xdr:row>33</xdr:row>
      <xdr:rowOff>104775</xdr:rowOff>
    </xdr:from>
    <xdr:to>
      <xdr:col>8</xdr:col>
      <xdr:colOff>1914525</xdr:colOff>
      <xdr:row>34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2BE6F7A-2312-69EB-10F5-CEF4B6FC85B3}"/>
            </a:ext>
          </a:extLst>
        </xdr:cNvPr>
        <xdr:cNvCxnSpPr/>
      </xdr:nvCxnSpPr>
      <xdr:spPr>
        <a:xfrm>
          <a:off x="9086850" y="6467475"/>
          <a:ext cx="0" cy="2571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304800</xdr:colOff>
      <xdr:row>0</xdr:row>
      <xdr:rowOff>247650</xdr:rowOff>
    </xdr:from>
    <xdr:to>
      <xdr:col>14</xdr:col>
      <xdr:colOff>466726</xdr:colOff>
      <xdr:row>13</xdr:row>
      <xdr:rowOff>104775</xdr:rowOff>
    </xdr:to>
    <xdr:sp macro="" textlink="">
      <xdr:nvSpPr>
        <xdr:cNvPr id="10" name="Left Brace 9">
          <a:extLst>
            <a:ext uri="{FF2B5EF4-FFF2-40B4-BE49-F238E27FC236}">
              <a16:creationId xmlns:a16="http://schemas.microsoft.com/office/drawing/2014/main" id="{811936A2-5441-3E52-0B4B-BD95ACF7AB53}"/>
            </a:ext>
          </a:extLst>
        </xdr:cNvPr>
        <xdr:cNvSpPr/>
      </xdr:nvSpPr>
      <xdr:spPr>
        <a:xfrm>
          <a:off x="11534775" y="247650"/>
          <a:ext cx="161926" cy="2486025"/>
        </a:xfrm>
        <a:prstGeom prst="leftBrace">
          <a:avLst>
            <a:gd name="adj1" fmla="val 8333"/>
            <a:gd name="adj2" fmla="val 2434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571501</xdr:colOff>
      <xdr:row>0</xdr:row>
      <xdr:rowOff>247650</xdr:rowOff>
    </xdr:from>
    <xdr:to>
      <xdr:col>14</xdr:col>
      <xdr:colOff>238126</xdr:colOff>
      <xdr:row>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D60867EB-344F-FEB9-58C7-0824FC83B8A0}"/>
            </a:ext>
          </a:extLst>
        </xdr:cNvPr>
        <xdr:cNvCxnSpPr/>
      </xdr:nvCxnSpPr>
      <xdr:spPr>
        <a:xfrm rot="10800000" flipV="1">
          <a:off x="7010401" y="247650"/>
          <a:ext cx="5286375" cy="476250"/>
        </a:xfrm>
        <a:prstGeom prst="bentConnector3">
          <a:avLst>
            <a:gd name="adj1" fmla="val 99904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123824</xdr:colOff>
      <xdr:row>2</xdr:row>
      <xdr:rowOff>247649</xdr:rowOff>
    </xdr:from>
    <xdr:to>
      <xdr:col>4</xdr:col>
      <xdr:colOff>76199</xdr:colOff>
      <xdr:row>135</xdr:row>
      <xdr:rowOff>28575</xdr:rowOff>
    </xdr:to>
    <xdr:sp macro="" textlink="">
      <xdr:nvSpPr>
        <xdr:cNvPr id="21" name="Left Brace 20">
          <a:extLst>
            <a:ext uri="{FF2B5EF4-FFF2-40B4-BE49-F238E27FC236}">
              <a16:creationId xmlns:a16="http://schemas.microsoft.com/office/drawing/2014/main" id="{8C27626F-21B7-4785-A92D-615C6907EA5C}"/>
            </a:ext>
          </a:extLst>
        </xdr:cNvPr>
        <xdr:cNvSpPr/>
      </xdr:nvSpPr>
      <xdr:spPr>
        <a:xfrm>
          <a:off x="3962399" y="704849"/>
          <a:ext cx="123825" cy="25193626"/>
        </a:xfrm>
        <a:prstGeom prst="leftBrace">
          <a:avLst>
            <a:gd name="adj1" fmla="val 8333"/>
            <a:gd name="adj2" fmla="val 26316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 editAs="oneCell">
    <xdr:from>
      <xdr:col>14</xdr:col>
      <xdr:colOff>523875</xdr:colOff>
      <xdr:row>0</xdr:row>
      <xdr:rowOff>19050</xdr:rowOff>
    </xdr:from>
    <xdr:to>
      <xdr:col>15</xdr:col>
      <xdr:colOff>1082329</xdr:colOff>
      <xdr:row>13</xdr:row>
      <xdr:rowOff>180975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313F4C1-2EFF-F288-0E28-C170478B8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3425" y="19050"/>
          <a:ext cx="2072929" cy="279082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107</xdr:row>
      <xdr:rowOff>114300</xdr:rowOff>
    </xdr:from>
    <xdr:to>
      <xdr:col>14</xdr:col>
      <xdr:colOff>276378</xdr:colOff>
      <xdr:row>140</xdr:row>
      <xdr:rowOff>153283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CCF71-DC2E-6F19-0314-4A1E32AD9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0" y="20650200"/>
          <a:ext cx="1095528" cy="6325483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14</xdr:row>
      <xdr:rowOff>152400</xdr:rowOff>
    </xdr:from>
    <xdr:to>
      <xdr:col>18</xdr:col>
      <xdr:colOff>162786</xdr:colOff>
      <xdr:row>49</xdr:row>
      <xdr:rowOff>19962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E95868-6151-F7D0-1E43-BDEFD3D27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20475" y="2971800"/>
          <a:ext cx="6173061" cy="6535062"/>
        </a:xfrm>
        <a:prstGeom prst="rect">
          <a:avLst/>
        </a:prstGeom>
      </xdr:spPr>
    </xdr:pic>
    <xdr:clientData/>
  </xdr:twoCellAnchor>
  <xdr:twoCellAnchor>
    <xdr:from>
      <xdr:col>9</xdr:col>
      <xdr:colOff>447676</xdr:colOff>
      <xdr:row>2</xdr:row>
      <xdr:rowOff>66675</xdr:rowOff>
    </xdr:from>
    <xdr:to>
      <xdr:col>13</xdr:col>
      <xdr:colOff>457203</xdr:colOff>
      <xdr:row>2</xdr:row>
      <xdr:rowOff>257175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D18F31BC-E16B-A827-CE11-B82CE9FCA431}"/>
            </a:ext>
          </a:extLst>
        </xdr:cNvPr>
        <xdr:cNvCxnSpPr/>
      </xdr:nvCxnSpPr>
      <xdr:spPr>
        <a:xfrm rot="10800000" flipV="1">
          <a:off x="8553451" y="523875"/>
          <a:ext cx="3057527" cy="190500"/>
        </a:xfrm>
        <a:prstGeom prst="bentConnector3">
          <a:avLst>
            <a:gd name="adj1" fmla="val 99844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457200</xdr:colOff>
      <xdr:row>2</xdr:row>
      <xdr:rowOff>28575</xdr:rowOff>
    </xdr:from>
    <xdr:to>
      <xdr:col>13</xdr:col>
      <xdr:colOff>466725</xdr:colOff>
      <xdr:row>14</xdr:row>
      <xdr:rowOff>161925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315A816-88FF-DB17-4D2A-96FB0F52E201}"/>
            </a:ext>
          </a:extLst>
        </xdr:cNvPr>
        <xdr:cNvCxnSpPr/>
      </xdr:nvCxnSpPr>
      <xdr:spPr>
        <a:xfrm>
          <a:off x="11610975" y="485775"/>
          <a:ext cx="9525" cy="24955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</xdr:row>
      <xdr:rowOff>47625</xdr:rowOff>
    </xdr:from>
    <xdr:to>
      <xdr:col>10</xdr:col>
      <xdr:colOff>485775</xdr:colOff>
      <xdr:row>3</xdr:row>
      <xdr:rowOff>28575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A790557-075D-B966-AF9A-D4818F6075AB}"/>
            </a:ext>
          </a:extLst>
        </xdr:cNvPr>
        <xdr:cNvCxnSpPr/>
      </xdr:nvCxnSpPr>
      <xdr:spPr>
        <a:xfrm>
          <a:off x="9486900" y="504825"/>
          <a:ext cx="9525" cy="2476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273329</xdr:colOff>
      <xdr:row>6</xdr:row>
      <xdr:rowOff>7661</xdr:rowOff>
    </xdr:from>
    <xdr:to>
      <xdr:col>1</xdr:col>
      <xdr:colOff>273330</xdr:colOff>
      <xdr:row>7</xdr:row>
      <xdr:rowOff>100017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E16A3B7-2CEC-09D3-4D6A-2327FF05B91F}"/>
            </a:ext>
          </a:extLst>
        </xdr:cNvPr>
        <xdr:cNvCxnSpPr/>
      </xdr:nvCxnSpPr>
      <xdr:spPr>
        <a:xfrm flipH="1" flipV="1">
          <a:off x="886242" y="1225204"/>
          <a:ext cx="1" cy="28285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538369</xdr:colOff>
      <xdr:row>7</xdr:row>
      <xdr:rowOff>99392</xdr:rowOff>
    </xdr:from>
    <xdr:to>
      <xdr:col>6</xdr:col>
      <xdr:colOff>538370</xdr:colOff>
      <xdr:row>8</xdr:row>
      <xdr:rowOff>256761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43E3374-B6C4-472C-AF15-4EB8986392F0}"/>
            </a:ext>
          </a:extLst>
        </xdr:cNvPr>
        <xdr:cNvCxnSpPr/>
      </xdr:nvCxnSpPr>
      <xdr:spPr>
        <a:xfrm flipH="1">
          <a:off x="11355456" y="1507435"/>
          <a:ext cx="1" cy="3478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273322</xdr:colOff>
      <xdr:row>7</xdr:row>
      <xdr:rowOff>82827</xdr:rowOff>
    </xdr:from>
    <xdr:to>
      <xdr:col>6</xdr:col>
      <xdr:colOff>546652</xdr:colOff>
      <xdr:row>7</xdr:row>
      <xdr:rowOff>91104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FB78578-6C4E-49C4-99CF-3A4957C76270}"/>
            </a:ext>
          </a:extLst>
        </xdr:cNvPr>
        <xdr:cNvCxnSpPr/>
      </xdr:nvCxnSpPr>
      <xdr:spPr>
        <a:xfrm flipH="1">
          <a:off x="886235" y="1490870"/>
          <a:ext cx="10477504" cy="827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2F40-C698-41CB-9CEF-C4F5A1C30D72}">
  <dimension ref="C4:U32"/>
  <sheetViews>
    <sheetView tabSelected="1" topLeftCell="F1" workbookViewId="0">
      <selection activeCell="H28" sqref="H28"/>
    </sheetView>
  </sheetViews>
  <sheetFormatPr defaultRowHeight="15" x14ac:dyDescent="0.25"/>
  <cols>
    <col min="5" max="6" width="33.140625" bestFit="1" customWidth="1"/>
    <col min="7" max="7" width="7" bestFit="1" customWidth="1"/>
    <col min="8" max="8" width="13.5703125" bestFit="1" customWidth="1"/>
    <col min="9" max="9" width="15" bestFit="1" customWidth="1"/>
    <col min="10" max="10" width="16.28515625" bestFit="1" customWidth="1"/>
    <col min="11" max="11" width="16.28515625" customWidth="1"/>
    <col min="13" max="13" width="8.140625" bestFit="1" customWidth="1"/>
    <col min="14" max="14" width="5.85546875" bestFit="1" customWidth="1"/>
    <col min="15" max="15" width="11.140625" bestFit="1" customWidth="1"/>
    <col min="21" max="21" width="11.140625" bestFit="1" customWidth="1"/>
    <col min="22" max="22" width="5.85546875" customWidth="1"/>
  </cols>
  <sheetData>
    <row r="4" spans="4:21" ht="21" x14ac:dyDescent="0.35">
      <c r="G4" s="10" t="s">
        <v>140</v>
      </c>
      <c r="L4" s="10" t="s">
        <v>134</v>
      </c>
      <c r="R4" s="10" t="s">
        <v>345</v>
      </c>
    </row>
    <row r="5" spans="4:21" x14ac:dyDescent="0.25">
      <c r="G5" s="4" t="s">
        <v>73</v>
      </c>
      <c r="H5" s="4" t="s">
        <v>1</v>
      </c>
      <c r="I5" s="4" t="s">
        <v>74</v>
      </c>
      <c r="L5" s="4" t="s">
        <v>73</v>
      </c>
      <c r="M5" s="4" t="s">
        <v>74</v>
      </c>
      <c r="N5" s="16" t="s">
        <v>136</v>
      </c>
      <c r="R5" s="4" t="s">
        <v>73</v>
      </c>
      <c r="S5" s="4" t="s">
        <v>127</v>
      </c>
      <c r="T5" s="16" t="s">
        <v>136</v>
      </c>
      <c r="U5" s="4" t="s">
        <v>146</v>
      </c>
    </row>
    <row r="6" spans="4:21" x14ac:dyDescent="0.25">
      <c r="G6" s="5">
        <v>7</v>
      </c>
      <c r="H6" s="5" t="s">
        <v>25</v>
      </c>
      <c r="I6" s="5" t="s">
        <v>143</v>
      </c>
      <c r="L6" s="5">
        <v>5</v>
      </c>
      <c r="M6" s="5" t="s">
        <v>135</v>
      </c>
      <c r="N6" s="7" t="s">
        <v>137</v>
      </c>
      <c r="R6" s="5">
        <v>10</v>
      </c>
      <c r="S6" s="5">
        <v>5</v>
      </c>
      <c r="T6" s="7" t="s">
        <v>137</v>
      </c>
      <c r="U6" s="5">
        <v>1</v>
      </c>
    </row>
    <row r="7" spans="4:21" x14ac:dyDescent="0.25">
      <c r="G7" s="5">
        <v>8</v>
      </c>
      <c r="H7" s="5" t="s">
        <v>141</v>
      </c>
      <c r="I7" s="5" t="s">
        <v>145</v>
      </c>
      <c r="L7" s="5">
        <v>6</v>
      </c>
      <c r="M7" s="5" t="s">
        <v>138</v>
      </c>
      <c r="N7" s="7" t="s">
        <v>137</v>
      </c>
      <c r="R7" s="5">
        <v>11</v>
      </c>
      <c r="S7" s="5">
        <v>6</v>
      </c>
      <c r="T7" s="7" t="s">
        <v>137</v>
      </c>
      <c r="U7" s="5">
        <v>2</v>
      </c>
    </row>
    <row r="8" spans="4:21" x14ac:dyDescent="0.25">
      <c r="G8" s="5">
        <v>9</v>
      </c>
      <c r="H8" s="5" t="s">
        <v>142</v>
      </c>
      <c r="I8" s="5" t="s">
        <v>144</v>
      </c>
      <c r="L8" s="5">
        <v>7</v>
      </c>
      <c r="M8" s="5" t="s">
        <v>139</v>
      </c>
      <c r="N8" s="7" t="s">
        <v>137</v>
      </c>
      <c r="R8" s="5">
        <v>12</v>
      </c>
      <c r="S8" s="5">
        <v>7</v>
      </c>
      <c r="T8" s="7" t="s">
        <v>137</v>
      </c>
      <c r="U8" s="5">
        <v>3</v>
      </c>
    </row>
    <row r="12" spans="4:21" ht="21" x14ac:dyDescent="0.35">
      <c r="D12" s="10" t="s">
        <v>126</v>
      </c>
    </row>
    <row r="13" spans="4:21" x14ac:dyDescent="0.25">
      <c r="D13" s="4" t="s">
        <v>73</v>
      </c>
      <c r="E13" s="4" t="s">
        <v>74</v>
      </c>
      <c r="F13" s="4" t="s">
        <v>75</v>
      </c>
      <c r="G13" s="4" t="s">
        <v>127</v>
      </c>
      <c r="H13" s="4" t="s">
        <v>128</v>
      </c>
      <c r="I13" s="4" t="s">
        <v>130</v>
      </c>
      <c r="J13" s="4" t="s">
        <v>129</v>
      </c>
      <c r="K13" s="4" t="s">
        <v>768</v>
      </c>
    </row>
    <row r="14" spans="4:21" x14ac:dyDescent="0.25">
      <c r="D14" s="5">
        <v>1</v>
      </c>
      <c r="E14" s="6" t="s">
        <v>133</v>
      </c>
      <c r="F14" s="6" t="s">
        <v>133</v>
      </c>
      <c r="G14" s="5">
        <v>5</v>
      </c>
      <c r="H14" s="5">
        <v>7</v>
      </c>
      <c r="I14" s="5" t="s">
        <v>147</v>
      </c>
      <c r="J14" s="5">
        <v>7414</v>
      </c>
      <c r="K14" s="5">
        <v>2</v>
      </c>
      <c r="M14" t="s">
        <v>149</v>
      </c>
      <c r="S14" s="28"/>
    </row>
    <row r="15" spans="4:21" x14ac:dyDescent="0.25">
      <c r="D15" s="5">
        <v>2</v>
      </c>
      <c r="E15" s="6" t="s">
        <v>132</v>
      </c>
      <c r="F15" s="6" t="s">
        <v>132</v>
      </c>
      <c r="G15" s="5">
        <v>6</v>
      </c>
      <c r="H15" s="5">
        <v>7</v>
      </c>
      <c r="I15" s="5" t="s">
        <v>147</v>
      </c>
      <c r="J15" s="5">
        <v>19379</v>
      </c>
      <c r="K15" s="5">
        <v>2</v>
      </c>
      <c r="M15" t="s">
        <v>148</v>
      </c>
      <c r="S15" s="28"/>
    </row>
    <row r="16" spans="4:21" x14ac:dyDescent="0.25">
      <c r="D16" s="5">
        <v>3</v>
      </c>
      <c r="E16" s="6" t="s">
        <v>131</v>
      </c>
      <c r="F16" s="6" t="s">
        <v>131</v>
      </c>
      <c r="G16" s="5">
        <v>7</v>
      </c>
      <c r="H16" s="5">
        <v>7</v>
      </c>
      <c r="I16" s="5" t="s">
        <v>147</v>
      </c>
      <c r="J16" s="5">
        <v>8797</v>
      </c>
      <c r="K16" s="5">
        <v>2</v>
      </c>
      <c r="M16" t="s">
        <v>150</v>
      </c>
      <c r="S16" s="28"/>
    </row>
    <row r="20" spans="3:15" x14ac:dyDescent="0.25">
      <c r="J20" t="s">
        <v>149</v>
      </c>
    </row>
    <row r="21" spans="3:15" x14ac:dyDescent="0.25">
      <c r="J21" t="s">
        <v>148</v>
      </c>
    </row>
    <row r="22" spans="3:15" x14ac:dyDescent="0.25">
      <c r="J22" t="s">
        <v>150</v>
      </c>
    </row>
    <row r="26" spans="3:15" x14ac:dyDescent="0.25">
      <c r="O26" t="s">
        <v>76</v>
      </c>
    </row>
    <row r="32" spans="3:15" x14ac:dyDescent="0.25">
      <c r="C32" t="s">
        <v>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B5B8-9FA0-448A-8627-B43FF9B25CBA}">
  <dimension ref="D6:P36"/>
  <sheetViews>
    <sheetView workbookViewId="0">
      <selection activeCell="F24" sqref="F24:F34"/>
    </sheetView>
  </sheetViews>
  <sheetFormatPr defaultRowHeight="15" x14ac:dyDescent="0.25"/>
  <cols>
    <col min="5" max="5" width="11.140625" bestFit="1" customWidth="1"/>
    <col min="6" max="6" width="18" bestFit="1" customWidth="1"/>
    <col min="7" max="7" width="14.140625" bestFit="1" customWidth="1"/>
    <col min="8" max="8" width="18.28515625" bestFit="1" customWidth="1"/>
    <col min="11" max="11" width="14" bestFit="1" customWidth="1"/>
    <col min="12" max="12" width="31.5703125" bestFit="1" customWidth="1"/>
    <col min="15" max="15" width="1.42578125" customWidth="1"/>
    <col min="16" max="16" width="32.7109375" customWidth="1"/>
    <col min="17" max="17" width="8.140625" bestFit="1" customWidth="1"/>
    <col min="18" max="18" width="13.5703125" bestFit="1" customWidth="1"/>
    <col min="19" max="19" width="16.140625" bestFit="1" customWidth="1"/>
    <col min="20" max="20" width="15.85546875" bestFit="1" customWidth="1"/>
  </cols>
  <sheetData>
    <row r="6" spans="9:12" x14ac:dyDescent="0.25">
      <c r="L6" s="15"/>
    </row>
    <row r="7" spans="9:12" x14ac:dyDescent="0.25">
      <c r="L7" s="15"/>
    </row>
    <row r="8" spans="9:12" x14ac:dyDescent="0.25">
      <c r="L8" s="15"/>
    </row>
    <row r="9" spans="9:12" x14ac:dyDescent="0.25">
      <c r="L9" s="15"/>
    </row>
    <row r="10" spans="9:12" x14ac:dyDescent="0.25">
      <c r="L10" s="15"/>
    </row>
    <row r="16" spans="9:12" ht="21" x14ac:dyDescent="0.35">
      <c r="I16" s="10" t="s">
        <v>125</v>
      </c>
      <c r="J16" s="10"/>
    </row>
    <row r="17" spans="4:16" x14ac:dyDescent="0.25">
      <c r="I17" s="4" t="s">
        <v>73</v>
      </c>
      <c r="J17" s="4" t="s">
        <v>1</v>
      </c>
      <c r="K17" s="4" t="s">
        <v>74</v>
      </c>
      <c r="L17" s="4" t="s">
        <v>75</v>
      </c>
    </row>
    <row r="18" spans="4:16" x14ac:dyDescent="0.25">
      <c r="I18" s="5">
        <v>14</v>
      </c>
      <c r="J18" s="5" t="s">
        <v>346</v>
      </c>
      <c r="K18" s="5" t="s">
        <v>151</v>
      </c>
      <c r="L18" s="6" t="s">
        <v>151</v>
      </c>
    </row>
    <row r="19" spans="4:16" x14ac:dyDescent="0.25">
      <c r="I19" s="5">
        <v>15</v>
      </c>
      <c r="J19" s="5" t="s">
        <v>347</v>
      </c>
      <c r="K19" s="5" t="s">
        <v>152</v>
      </c>
      <c r="L19" s="6" t="s">
        <v>154</v>
      </c>
      <c r="P19" t="s">
        <v>76</v>
      </c>
    </row>
    <row r="20" spans="4:16" x14ac:dyDescent="0.25">
      <c r="I20" s="5">
        <v>16</v>
      </c>
      <c r="J20" s="5" t="s">
        <v>348</v>
      </c>
      <c r="K20" s="5" t="s">
        <v>57</v>
      </c>
      <c r="L20" s="6" t="s">
        <v>155</v>
      </c>
    </row>
    <row r="21" spans="4:16" x14ac:dyDescent="0.25">
      <c r="I21" s="5">
        <v>17</v>
      </c>
      <c r="J21" s="5" t="s">
        <v>350</v>
      </c>
      <c r="K21" s="5" t="s">
        <v>351</v>
      </c>
      <c r="L21" s="6" t="s">
        <v>156</v>
      </c>
    </row>
    <row r="22" spans="4:16" x14ac:dyDescent="0.25">
      <c r="I22" s="5">
        <v>18</v>
      </c>
      <c r="J22" s="5" t="s">
        <v>349</v>
      </c>
      <c r="K22" s="5" t="s">
        <v>58</v>
      </c>
      <c r="L22" s="6" t="s">
        <v>157</v>
      </c>
    </row>
    <row r="23" spans="4:16" ht="21" x14ac:dyDescent="0.35">
      <c r="D23" s="10" t="s">
        <v>153</v>
      </c>
    </row>
    <row r="24" spans="4:16" x14ac:dyDescent="0.25">
      <c r="D24" s="4" t="s">
        <v>73</v>
      </c>
      <c r="E24" s="4" t="s">
        <v>146</v>
      </c>
      <c r="F24" s="4" t="s">
        <v>103</v>
      </c>
    </row>
    <row r="25" spans="4:16" x14ac:dyDescent="0.25">
      <c r="D25" s="5">
        <v>1</v>
      </c>
      <c r="E25" s="5">
        <v>1</v>
      </c>
      <c r="F25" s="13" t="s">
        <v>158</v>
      </c>
      <c r="L25" s="15"/>
    </row>
    <row r="26" spans="4:16" x14ac:dyDescent="0.25">
      <c r="D26" s="5">
        <v>2</v>
      </c>
      <c r="E26" s="5">
        <v>1</v>
      </c>
      <c r="F26" s="13" t="s">
        <v>159</v>
      </c>
      <c r="L26" s="15"/>
    </row>
    <row r="27" spans="4:16" x14ac:dyDescent="0.25">
      <c r="D27" s="5">
        <v>3</v>
      </c>
      <c r="E27" s="5">
        <v>1</v>
      </c>
      <c r="F27" s="13" t="s">
        <v>160</v>
      </c>
      <c r="L27" s="15"/>
    </row>
    <row r="28" spans="4:16" x14ac:dyDescent="0.25">
      <c r="D28" s="5">
        <v>4</v>
      </c>
      <c r="E28" s="5">
        <v>2</v>
      </c>
      <c r="F28" s="13" t="s">
        <v>158</v>
      </c>
      <c r="L28" s="15"/>
    </row>
    <row r="29" spans="4:16" x14ac:dyDescent="0.25">
      <c r="D29" s="5">
        <v>5</v>
      </c>
      <c r="E29" s="5">
        <v>2</v>
      </c>
      <c r="F29" s="13" t="s">
        <v>159</v>
      </c>
    </row>
    <row r="30" spans="4:16" x14ac:dyDescent="0.25">
      <c r="D30" s="5">
        <v>6</v>
      </c>
      <c r="E30" s="5">
        <v>2</v>
      </c>
      <c r="F30" s="13" t="s">
        <v>160</v>
      </c>
    </row>
    <row r="31" spans="4:16" x14ac:dyDescent="0.25">
      <c r="D31" s="5">
        <v>7</v>
      </c>
      <c r="E31" s="5">
        <v>3</v>
      </c>
      <c r="F31" s="13" t="s">
        <v>158</v>
      </c>
    </row>
    <row r="32" spans="4:16" x14ac:dyDescent="0.25">
      <c r="D32" s="5">
        <v>8</v>
      </c>
      <c r="E32" s="5">
        <v>3</v>
      </c>
      <c r="F32" s="13" t="s">
        <v>159</v>
      </c>
    </row>
    <row r="33" spans="4:15" x14ac:dyDescent="0.25">
      <c r="D33" s="5">
        <v>9</v>
      </c>
      <c r="E33" s="5">
        <v>3</v>
      </c>
      <c r="F33" s="13" t="s">
        <v>160</v>
      </c>
    </row>
    <row r="34" spans="4:15" x14ac:dyDescent="0.25">
      <c r="D34" s="5"/>
      <c r="E34" s="5"/>
      <c r="F34" s="13"/>
    </row>
    <row r="36" spans="4:15" x14ac:dyDescent="0.25">
      <c r="O36" t="s">
        <v>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E1D1-4843-424B-A4E0-CAE6E9C9D44B}">
  <dimension ref="D3:K60"/>
  <sheetViews>
    <sheetView topLeftCell="A32" zoomScale="120" zoomScaleNormal="120" workbookViewId="0">
      <selection activeCell="F38" sqref="E38:F48"/>
    </sheetView>
  </sheetViews>
  <sheetFormatPr defaultRowHeight="15" x14ac:dyDescent="0.25"/>
  <cols>
    <col min="5" max="5" width="21" bestFit="1" customWidth="1"/>
    <col min="6" max="6" width="17.5703125" bestFit="1" customWidth="1"/>
    <col min="7" max="7" width="14.140625" bestFit="1" customWidth="1"/>
    <col min="8" max="8" width="12" customWidth="1"/>
    <col min="9" max="9" width="12.28515625" bestFit="1" customWidth="1"/>
    <col min="11" max="11" width="14.140625" bestFit="1" customWidth="1"/>
    <col min="15" max="15" width="33.140625" bestFit="1" customWidth="1"/>
    <col min="16" max="16" width="8.140625" bestFit="1" customWidth="1"/>
    <col min="17" max="17" width="13.5703125" bestFit="1" customWidth="1"/>
    <col min="18" max="18" width="16.28515625" bestFit="1" customWidth="1"/>
    <col min="19" max="19" width="15.85546875" bestFit="1" customWidth="1"/>
    <col min="20" max="20" width="17.5703125" bestFit="1" customWidth="1"/>
  </cols>
  <sheetData>
    <row r="3" spans="4:10" x14ac:dyDescent="0.25">
      <c r="J3" s="9"/>
    </row>
    <row r="4" spans="4:10" ht="21" x14ac:dyDescent="0.35">
      <c r="D4" s="10"/>
      <c r="J4" s="14"/>
    </row>
    <row r="5" spans="4:10" x14ac:dyDescent="0.25">
      <c r="J5" s="14"/>
    </row>
    <row r="6" spans="4:10" x14ac:dyDescent="0.25">
      <c r="J6" s="14"/>
    </row>
    <row r="30" spans="8:11" ht="21" x14ac:dyDescent="0.35">
      <c r="H30" s="10" t="s">
        <v>118</v>
      </c>
    </row>
    <row r="31" spans="8:11" x14ac:dyDescent="0.25">
      <c r="H31" s="4" t="s">
        <v>73</v>
      </c>
      <c r="I31" s="4" t="s">
        <v>1</v>
      </c>
      <c r="J31" s="4" t="s">
        <v>74</v>
      </c>
      <c r="K31" s="4" t="s">
        <v>75</v>
      </c>
    </row>
    <row r="32" spans="8:11" x14ac:dyDescent="0.25">
      <c r="H32" s="5">
        <v>1</v>
      </c>
      <c r="I32" s="5">
        <v>0</v>
      </c>
      <c r="J32" s="5" t="s">
        <v>119</v>
      </c>
      <c r="K32" s="6" t="s">
        <v>120</v>
      </c>
    </row>
    <row r="33" spans="4:11" x14ac:dyDescent="0.25">
      <c r="H33" s="5">
        <v>2</v>
      </c>
      <c r="I33" s="5">
        <v>1</v>
      </c>
      <c r="J33" s="5" t="s">
        <v>121</v>
      </c>
      <c r="K33" s="6" t="s">
        <v>122</v>
      </c>
    </row>
    <row r="34" spans="4:11" x14ac:dyDescent="0.25">
      <c r="H34" s="5">
        <v>3</v>
      </c>
      <c r="I34" s="5">
        <v>2</v>
      </c>
      <c r="J34" s="5" t="s">
        <v>123</v>
      </c>
      <c r="K34" s="6" t="s">
        <v>124</v>
      </c>
    </row>
    <row r="37" spans="4:11" ht="21" x14ac:dyDescent="0.35">
      <c r="D37" s="10" t="s">
        <v>162</v>
      </c>
    </row>
    <row r="38" spans="4:11" x14ac:dyDescent="0.25">
      <c r="D38" s="4" t="s">
        <v>73</v>
      </c>
      <c r="E38" s="4" t="s">
        <v>161</v>
      </c>
      <c r="F38" s="4" t="s">
        <v>117</v>
      </c>
    </row>
    <row r="39" spans="4:11" x14ac:dyDescent="0.25">
      <c r="D39" s="5">
        <v>1</v>
      </c>
      <c r="E39" s="5">
        <v>1</v>
      </c>
      <c r="F39" s="5">
        <v>1</v>
      </c>
      <c r="G39" t="s">
        <v>163</v>
      </c>
    </row>
    <row r="40" spans="4:11" x14ac:dyDescent="0.25">
      <c r="D40" s="5">
        <v>2</v>
      </c>
      <c r="E40" s="5">
        <v>1</v>
      </c>
      <c r="F40" s="5">
        <v>2</v>
      </c>
      <c r="G40" t="s">
        <v>164</v>
      </c>
    </row>
    <row r="41" spans="4:11" x14ac:dyDescent="0.25">
      <c r="D41" s="5">
        <v>3</v>
      </c>
      <c r="E41" s="5">
        <v>2</v>
      </c>
      <c r="F41" s="5">
        <v>1</v>
      </c>
      <c r="G41" t="s">
        <v>169</v>
      </c>
    </row>
    <row r="42" spans="4:11" x14ac:dyDescent="0.25">
      <c r="D42" s="5">
        <v>4</v>
      </c>
      <c r="E42" s="5">
        <v>3</v>
      </c>
      <c r="F42" s="5">
        <v>1</v>
      </c>
      <c r="G42" t="s">
        <v>352</v>
      </c>
    </row>
    <row r="43" spans="4:11" x14ac:dyDescent="0.25">
      <c r="D43" s="5">
        <v>5</v>
      </c>
      <c r="E43" s="5">
        <v>4</v>
      </c>
      <c r="F43" s="5">
        <v>1</v>
      </c>
      <c r="G43" t="s">
        <v>167</v>
      </c>
    </row>
    <row r="44" spans="4:11" x14ac:dyDescent="0.25">
      <c r="D44" s="5">
        <v>6</v>
      </c>
      <c r="E44" s="5">
        <v>4</v>
      </c>
      <c r="F44" s="5">
        <v>2</v>
      </c>
      <c r="G44" t="s">
        <v>168</v>
      </c>
    </row>
    <row r="45" spans="4:11" x14ac:dyDescent="0.25">
      <c r="D45" s="5">
        <v>7</v>
      </c>
      <c r="E45" s="5">
        <v>5</v>
      </c>
      <c r="F45" s="5">
        <v>1</v>
      </c>
      <c r="G45" t="s">
        <v>170</v>
      </c>
    </row>
    <row r="46" spans="4:11" x14ac:dyDescent="0.25">
      <c r="D46" s="5">
        <v>8</v>
      </c>
      <c r="E46" s="5">
        <v>6</v>
      </c>
      <c r="F46" s="5">
        <v>1</v>
      </c>
      <c r="G46" t="s">
        <v>353</v>
      </c>
    </row>
    <row r="47" spans="4:11" x14ac:dyDescent="0.25">
      <c r="D47" s="5">
        <v>9</v>
      </c>
      <c r="E47" s="5">
        <v>7</v>
      </c>
      <c r="F47" s="5">
        <v>1</v>
      </c>
      <c r="G47" t="s">
        <v>166</v>
      </c>
    </row>
    <row r="48" spans="4:11" x14ac:dyDescent="0.25">
      <c r="D48" s="5">
        <v>10</v>
      </c>
      <c r="E48" s="5">
        <v>7</v>
      </c>
      <c r="F48" s="5">
        <v>2</v>
      </c>
      <c r="G48" t="s">
        <v>165</v>
      </c>
    </row>
    <row r="49" spans="4:11" x14ac:dyDescent="0.25">
      <c r="D49" s="5">
        <v>11</v>
      </c>
      <c r="E49" s="5">
        <v>8</v>
      </c>
      <c r="F49" s="5">
        <v>1</v>
      </c>
      <c r="G49" t="s">
        <v>171</v>
      </c>
    </row>
    <row r="50" spans="4:11" x14ac:dyDescent="0.25">
      <c r="D50" s="5">
        <v>12</v>
      </c>
      <c r="E50" s="5">
        <v>8</v>
      </c>
      <c r="F50" s="5">
        <v>2</v>
      </c>
      <c r="G50" t="s">
        <v>172</v>
      </c>
    </row>
    <row r="51" spans="4:11" x14ac:dyDescent="0.25">
      <c r="D51" s="5">
        <v>13</v>
      </c>
      <c r="E51" s="5">
        <v>9</v>
      </c>
      <c r="F51" s="5">
        <v>1</v>
      </c>
      <c r="G51" t="s">
        <v>354</v>
      </c>
    </row>
    <row r="52" spans="4:11" x14ac:dyDescent="0.25">
      <c r="D52" s="5">
        <v>14</v>
      </c>
      <c r="E52" s="5">
        <v>9</v>
      </c>
      <c r="F52" s="5">
        <v>2</v>
      </c>
      <c r="G52" t="s">
        <v>355</v>
      </c>
    </row>
    <row r="60" spans="4:11" x14ac:dyDescent="0.25">
      <c r="K60" t="s">
        <v>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DF0B-4B9B-4A00-B24E-D517D5B4CF59}">
  <dimension ref="B16:AE172"/>
  <sheetViews>
    <sheetView topLeftCell="A30" zoomScaleNormal="100" workbookViewId="0">
      <selection activeCell="I25" sqref="I25"/>
    </sheetView>
  </sheetViews>
  <sheetFormatPr defaultRowHeight="15" x14ac:dyDescent="0.25"/>
  <cols>
    <col min="4" max="4" width="32" customWidth="1"/>
    <col min="5" max="5" width="22.7109375" bestFit="1" customWidth="1"/>
    <col min="7" max="7" width="12.140625" bestFit="1" customWidth="1"/>
    <col min="8" max="8" width="12.140625" customWidth="1"/>
    <col min="9" max="9" width="33.140625" bestFit="1" customWidth="1"/>
    <col min="10" max="10" width="8.140625" bestFit="1" customWidth="1"/>
    <col min="12" max="12" width="16.28515625" bestFit="1" customWidth="1"/>
    <col min="13" max="13" width="15.85546875" bestFit="1" customWidth="1"/>
    <col min="14" max="14" width="17.5703125" bestFit="1" customWidth="1"/>
    <col min="15" max="15" width="19.7109375" bestFit="1" customWidth="1"/>
    <col min="16" max="16" width="48.42578125" bestFit="1" customWidth="1"/>
    <col min="17" max="17" width="14.140625" bestFit="1" customWidth="1"/>
    <col min="18" max="18" width="38.28515625" bestFit="1" customWidth="1"/>
    <col min="19" max="19" width="47.85546875" customWidth="1"/>
    <col min="20" max="20" width="15.28515625" bestFit="1" customWidth="1"/>
    <col min="24" max="24" width="29" customWidth="1"/>
    <col min="26" max="26" width="6.5703125" bestFit="1" customWidth="1"/>
    <col min="27" max="27" width="25.28515625" bestFit="1" customWidth="1"/>
    <col min="28" max="28" width="19.5703125" customWidth="1"/>
    <col min="29" max="29" width="18.5703125" bestFit="1" customWidth="1"/>
  </cols>
  <sheetData>
    <row r="16" spans="14:14" ht="21" x14ac:dyDescent="0.35">
      <c r="N16" s="10"/>
    </row>
    <row r="35" spans="2:17" ht="21" x14ac:dyDescent="0.35">
      <c r="C35" s="10" t="s">
        <v>173</v>
      </c>
      <c r="Q35" s="10"/>
    </row>
    <row r="36" spans="2:17" x14ac:dyDescent="0.25">
      <c r="C36" s="4" t="s">
        <v>73</v>
      </c>
      <c r="D36" s="8" t="s">
        <v>174</v>
      </c>
      <c r="E36" s="8" t="s">
        <v>175</v>
      </c>
      <c r="F36" s="4" t="s">
        <v>177</v>
      </c>
      <c r="G36" s="4" t="s">
        <v>178</v>
      </c>
    </row>
    <row r="37" spans="2:17" x14ac:dyDescent="0.25">
      <c r="B37" s="19" t="s">
        <v>135</v>
      </c>
      <c r="C37" s="5">
        <v>1</v>
      </c>
      <c r="D37" s="7" t="s">
        <v>356</v>
      </c>
      <c r="E37" s="7" t="s">
        <v>176</v>
      </c>
      <c r="F37" s="5">
        <v>1</v>
      </c>
      <c r="G37" s="5" t="s">
        <v>180</v>
      </c>
    </row>
    <row r="38" spans="2:17" x14ac:dyDescent="0.25">
      <c r="B38" s="19" t="s">
        <v>135</v>
      </c>
      <c r="C38" s="5">
        <v>2</v>
      </c>
      <c r="D38" s="7" t="s">
        <v>356</v>
      </c>
      <c r="E38" s="7" t="s">
        <v>176</v>
      </c>
      <c r="F38" s="5">
        <v>3</v>
      </c>
      <c r="G38" s="5" t="s">
        <v>179</v>
      </c>
      <c r="H38" s="2"/>
    </row>
    <row r="39" spans="2:17" x14ac:dyDescent="0.25">
      <c r="B39" s="19" t="s">
        <v>135</v>
      </c>
      <c r="C39" s="5">
        <v>3</v>
      </c>
      <c r="D39" s="7" t="s">
        <v>356</v>
      </c>
      <c r="E39" s="7" t="s">
        <v>176</v>
      </c>
      <c r="F39" s="5">
        <v>4</v>
      </c>
      <c r="G39" s="5" t="s">
        <v>179</v>
      </c>
      <c r="H39" s="2"/>
    </row>
    <row r="40" spans="2:17" x14ac:dyDescent="0.25">
      <c r="B40" s="19" t="s">
        <v>135</v>
      </c>
      <c r="C40" s="5">
        <v>4</v>
      </c>
      <c r="D40" s="7" t="s">
        <v>356</v>
      </c>
      <c r="E40" s="7" t="s">
        <v>176</v>
      </c>
      <c r="F40" s="5">
        <v>5</v>
      </c>
      <c r="G40" s="5" t="s">
        <v>180</v>
      </c>
      <c r="H40" s="2"/>
    </row>
    <row r="41" spans="2:17" x14ac:dyDescent="0.25">
      <c r="B41" s="19" t="s">
        <v>135</v>
      </c>
      <c r="C41" s="5">
        <v>5</v>
      </c>
      <c r="D41" s="7" t="s">
        <v>357</v>
      </c>
      <c r="E41" s="7" t="s">
        <v>212</v>
      </c>
      <c r="F41" s="5">
        <v>8</v>
      </c>
      <c r="G41" s="5" t="s">
        <v>179</v>
      </c>
      <c r="H41" s="2"/>
    </row>
    <row r="42" spans="2:17" x14ac:dyDescent="0.25">
      <c r="B42" s="19" t="s">
        <v>135</v>
      </c>
      <c r="C42" s="5">
        <v>6</v>
      </c>
      <c r="D42" s="7" t="s">
        <v>357</v>
      </c>
      <c r="E42" s="7" t="s">
        <v>212</v>
      </c>
      <c r="F42" s="5">
        <v>16</v>
      </c>
      <c r="G42" s="5" t="s">
        <v>180</v>
      </c>
      <c r="H42" s="2"/>
    </row>
    <row r="43" spans="2:17" x14ac:dyDescent="0.25">
      <c r="B43" s="19" t="s">
        <v>135</v>
      </c>
      <c r="C43" s="5">
        <v>7</v>
      </c>
      <c r="D43" s="7" t="s">
        <v>357</v>
      </c>
      <c r="E43" s="7" t="s">
        <v>212</v>
      </c>
      <c r="F43" s="5">
        <v>10</v>
      </c>
      <c r="G43" s="5" t="s">
        <v>180</v>
      </c>
      <c r="H43" s="2"/>
    </row>
    <row r="44" spans="2:17" x14ac:dyDescent="0.25">
      <c r="B44" s="19" t="s">
        <v>135</v>
      </c>
      <c r="C44" s="5">
        <v>8</v>
      </c>
      <c r="D44" s="7" t="s">
        <v>357</v>
      </c>
      <c r="E44" s="7" t="s">
        <v>212</v>
      </c>
      <c r="F44" s="5">
        <v>12</v>
      </c>
      <c r="G44" s="5" t="s">
        <v>180</v>
      </c>
      <c r="H44" s="2"/>
      <c r="I44" s="2" t="s">
        <v>76</v>
      </c>
    </row>
    <row r="45" spans="2:17" x14ac:dyDescent="0.25">
      <c r="B45" s="19" t="s">
        <v>135</v>
      </c>
      <c r="C45" s="5">
        <v>14</v>
      </c>
      <c r="D45" s="7" t="s">
        <v>357</v>
      </c>
      <c r="E45" s="7" t="s">
        <v>212</v>
      </c>
      <c r="F45" s="5">
        <v>15</v>
      </c>
      <c r="G45" s="5" t="s">
        <v>180</v>
      </c>
      <c r="H45" s="2"/>
    </row>
    <row r="46" spans="2:17" x14ac:dyDescent="0.25">
      <c r="B46" s="19" t="s">
        <v>135</v>
      </c>
      <c r="C46" s="5">
        <v>15</v>
      </c>
      <c r="D46" s="7" t="s">
        <v>358</v>
      </c>
      <c r="E46" s="7" t="s">
        <v>240</v>
      </c>
      <c r="F46" s="5">
        <v>17</v>
      </c>
      <c r="G46" s="5" t="s">
        <v>180</v>
      </c>
      <c r="H46" s="2"/>
    </row>
    <row r="47" spans="2:17" x14ac:dyDescent="0.25">
      <c r="B47" s="19" t="s">
        <v>135</v>
      </c>
      <c r="C47" s="5">
        <v>16</v>
      </c>
      <c r="D47" s="7" t="s">
        <v>358</v>
      </c>
      <c r="E47" s="7" t="s">
        <v>240</v>
      </c>
      <c r="F47" s="5">
        <v>17</v>
      </c>
      <c r="G47" s="5" t="s">
        <v>179</v>
      </c>
      <c r="H47" s="2"/>
    </row>
    <row r="48" spans="2:17" x14ac:dyDescent="0.25">
      <c r="B48" s="19" t="s">
        <v>135</v>
      </c>
      <c r="C48" s="5">
        <v>17</v>
      </c>
      <c r="D48" s="7" t="s">
        <v>358</v>
      </c>
      <c r="E48" s="7" t="s">
        <v>240</v>
      </c>
      <c r="F48" s="5">
        <v>18</v>
      </c>
      <c r="G48" s="5" t="s">
        <v>180</v>
      </c>
      <c r="H48" s="2"/>
      <c r="I48" s="2" t="s">
        <v>76</v>
      </c>
    </row>
    <row r="49" spans="2:8" x14ac:dyDescent="0.25">
      <c r="B49" s="19" t="s">
        <v>135</v>
      </c>
      <c r="C49" s="5">
        <v>18</v>
      </c>
      <c r="D49" s="7" t="s">
        <v>358</v>
      </c>
      <c r="E49" s="7" t="s">
        <v>240</v>
      </c>
      <c r="F49" s="5">
        <v>18</v>
      </c>
      <c r="G49" s="5" t="s">
        <v>179</v>
      </c>
      <c r="H49" s="2"/>
    </row>
    <row r="50" spans="2:8" x14ac:dyDescent="0.25">
      <c r="B50" s="19" t="s">
        <v>135</v>
      </c>
      <c r="C50" s="5">
        <v>19</v>
      </c>
      <c r="D50" s="7" t="s">
        <v>358</v>
      </c>
      <c r="E50" s="7" t="s">
        <v>240</v>
      </c>
      <c r="F50" s="5">
        <v>19</v>
      </c>
      <c r="G50" s="5" t="s">
        <v>180</v>
      </c>
      <c r="H50" s="2"/>
    </row>
    <row r="51" spans="2:8" x14ac:dyDescent="0.25">
      <c r="B51" s="19" t="s">
        <v>135</v>
      </c>
      <c r="C51" s="5">
        <v>20</v>
      </c>
      <c r="D51" s="7" t="s">
        <v>358</v>
      </c>
      <c r="E51" s="7" t="s">
        <v>240</v>
      </c>
      <c r="F51" s="5">
        <v>19</v>
      </c>
      <c r="G51" s="5" t="s">
        <v>179</v>
      </c>
      <c r="H51" s="2"/>
    </row>
    <row r="52" spans="2:8" x14ac:dyDescent="0.25">
      <c r="B52" s="19" t="s">
        <v>135</v>
      </c>
      <c r="C52" s="5">
        <v>21</v>
      </c>
      <c r="D52" s="7" t="s">
        <v>358</v>
      </c>
      <c r="E52" s="7" t="s">
        <v>240</v>
      </c>
      <c r="F52" s="5">
        <v>20</v>
      </c>
      <c r="G52" s="5" t="s">
        <v>179</v>
      </c>
      <c r="H52" s="2"/>
    </row>
    <row r="53" spans="2:8" x14ac:dyDescent="0.25">
      <c r="B53" s="19" t="s">
        <v>135</v>
      </c>
      <c r="C53" s="5">
        <v>22</v>
      </c>
      <c r="D53" s="7" t="s">
        <v>358</v>
      </c>
      <c r="E53" s="7" t="s">
        <v>240</v>
      </c>
      <c r="F53" s="5">
        <v>21</v>
      </c>
      <c r="G53" s="5" t="s">
        <v>180</v>
      </c>
      <c r="H53" s="2"/>
    </row>
    <row r="54" spans="2:8" x14ac:dyDescent="0.25">
      <c r="B54" s="19" t="s">
        <v>135</v>
      </c>
      <c r="C54" s="5">
        <v>23</v>
      </c>
      <c r="D54" s="7" t="s">
        <v>358</v>
      </c>
      <c r="E54" s="7" t="s">
        <v>240</v>
      </c>
      <c r="F54" s="5">
        <v>23</v>
      </c>
      <c r="G54" s="5" t="s">
        <v>180</v>
      </c>
      <c r="H54" s="2"/>
    </row>
    <row r="55" spans="2:8" x14ac:dyDescent="0.25">
      <c r="B55" s="19" t="s">
        <v>135</v>
      </c>
      <c r="C55" s="5">
        <v>24</v>
      </c>
      <c r="D55" s="7" t="s">
        <v>358</v>
      </c>
      <c r="E55" s="7" t="s">
        <v>240</v>
      </c>
      <c r="F55" s="5">
        <v>22</v>
      </c>
      <c r="G55" s="5" t="s">
        <v>180</v>
      </c>
    </row>
    <row r="56" spans="2:8" x14ac:dyDescent="0.25">
      <c r="B56" s="19" t="s">
        <v>135</v>
      </c>
      <c r="C56" s="5">
        <v>25</v>
      </c>
      <c r="D56" s="7" t="s">
        <v>357</v>
      </c>
      <c r="E56" s="7" t="s">
        <v>245</v>
      </c>
      <c r="F56" s="5">
        <v>24</v>
      </c>
      <c r="G56" s="5" t="s">
        <v>179</v>
      </c>
    </row>
    <row r="57" spans="2:8" x14ac:dyDescent="0.25">
      <c r="B57" s="19" t="s">
        <v>135</v>
      </c>
      <c r="C57" s="5">
        <v>26</v>
      </c>
      <c r="D57" s="7" t="s">
        <v>357</v>
      </c>
      <c r="E57" s="7" t="s">
        <v>245</v>
      </c>
      <c r="F57" s="5">
        <v>25</v>
      </c>
      <c r="G57" s="5" t="s">
        <v>180</v>
      </c>
    </row>
    <row r="58" spans="2:8" x14ac:dyDescent="0.25">
      <c r="B58" s="19" t="s">
        <v>135</v>
      </c>
      <c r="C58" s="5">
        <v>27</v>
      </c>
      <c r="D58" s="7" t="s">
        <v>357</v>
      </c>
      <c r="E58" s="7" t="s">
        <v>245</v>
      </c>
      <c r="F58" s="5">
        <v>26</v>
      </c>
      <c r="G58" s="5" t="s">
        <v>180</v>
      </c>
    </row>
    <row r="59" spans="2:8" x14ac:dyDescent="0.25">
      <c r="B59" s="19" t="s">
        <v>135</v>
      </c>
      <c r="C59" s="5">
        <v>28</v>
      </c>
      <c r="D59" s="7" t="s">
        <v>357</v>
      </c>
      <c r="E59" s="7" t="s">
        <v>245</v>
      </c>
      <c r="F59" s="5">
        <v>27</v>
      </c>
      <c r="G59" s="5" t="s">
        <v>180</v>
      </c>
    </row>
    <row r="60" spans="2:8" x14ac:dyDescent="0.25">
      <c r="B60" s="19" t="s">
        <v>135</v>
      </c>
      <c r="C60" s="5">
        <v>29</v>
      </c>
      <c r="D60" s="7" t="s">
        <v>357</v>
      </c>
      <c r="E60" s="7" t="s">
        <v>245</v>
      </c>
      <c r="F60" s="5">
        <v>28</v>
      </c>
      <c r="G60" s="5" t="s">
        <v>180</v>
      </c>
    </row>
    <row r="61" spans="2:8" x14ac:dyDescent="0.25">
      <c r="B61" s="19" t="s">
        <v>135</v>
      </c>
      <c r="C61" s="5">
        <v>30</v>
      </c>
      <c r="D61" s="7" t="s">
        <v>356</v>
      </c>
      <c r="E61" s="7" t="s">
        <v>261</v>
      </c>
      <c r="F61" s="5">
        <v>29</v>
      </c>
      <c r="G61" s="5" t="s">
        <v>180</v>
      </c>
    </row>
    <row r="62" spans="2:8" x14ac:dyDescent="0.25">
      <c r="B62" s="19" t="s">
        <v>135</v>
      </c>
      <c r="C62" s="5">
        <v>31</v>
      </c>
      <c r="D62" s="7" t="s">
        <v>356</v>
      </c>
      <c r="E62" s="7" t="s">
        <v>261</v>
      </c>
      <c r="F62" s="5">
        <v>30</v>
      </c>
      <c r="G62" s="5" t="s">
        <v>179</v>
      </c>
    </row>
    <row r="63" spans="2:8" x14ac:dyDescent="0.25">
      <c r="B63" s="19" t="s">
        <v>135</v>
      </c>
      <c r="C63" s="5">
        <v>32</v>
      </c>
      <c r="D63" s="7" t="s">
        <v>356</v>
      </c>
      <c r="E63" s="7" t="s">
        <v>261</v>
      </c>
      <c r="F63" s="5">
        <v>31</v>
      </c>
      <c r="G63" s="5" t="s">
        <v>179</v>
      </c>
    </row>
    <row r="64" spans="2:8" x14ac:dyDescent="0.25">
      <c r="B64" s="19" t="s">
        <v>135</v>
      </c>
      <c r="C64" s="5">
        <v>33</v>
      </c>
      <c r="D64" s="7" t="s">
        <v>356</v>
      </c>
      <c r="E64" s="7" t="s">
        <v>261</v>
      </c>
      <c r="F64" s="5">
        <v>31</v>
      </c>
      <c r="G64" s="5" t="s">
        <v>180</v>
      </c>
    </row>
    <row r="65" spans="2:31" x14ac:dyDescent="0.25">
      <c r="B65" s="19" t="s">
        <v>135</v>
      </c>
      <c r="C65" s="5">
        <v>34</v>
      </c>
      <c r="D65" s="7" t="s">
        <v>356</v>
      </c>
      <c r="E65" s="7" t="s">
        <v>261</v>
      </c>
      <c r="F65" s="5">
        <v>36</v>
      </c>
      <c r="G65" s="5" t="s">
        <v>179</v>
      </c>
    </row>
    <row r="66" spans="2:31" x14ac:dyDescent="0.25">
      <c r="B66" s="19" t="s">
        <v>135</v>
      </c>
      <c r="C66" s="5">
        <v>35</v>
      </c>
      <c r="D66" s="7" t="s">
        <v>356</v>
      </c>
      <c r="E66" s="7" t="s">
        <v>261</v>
      </c>
      <c r="F66" s="5">
        <v>32</v>
      </c>
      <c r="G66" s="5" t="s">
        <v>179</v>
      </c>
    </row>
    <row r="67" spans="2:31" x14ac:dyDescent="0.25">
      <c r="B67" s="19" t="s">
        <v>135</v>
      </c>
      <c r="C67" s="5">
        <v>36</v>
      </c>
      <c r="D67" s="7" t="s">
        <v>356</v>
      </c>
      <c r="E67" s="7" t="s">
        <v>261</v>
      </c>
      <c r="F67" s="5">
        <v>33</v>
      </c>
      <c r="G67" s="5" t="s">
        <v>180</v>
      </c>
    </row>
    <row r="68" spans="2:31" x14ac:dyDescent="0.25">
      <c r="B68" s="19" t="s">
        <v>135</v>
      </c>
      <c r="C68" s="5">
        <v>37</v>
      </c>
      <c r="D68" s="7" t="s">
        <v>356</v>
      </c>
      <c r="E68" s="7" t="s">
        <v>261</v>
      </c>
      <c r="F68" s="5">
        <v>34</v>
      </c>
      <c r="G68" s="5" t="s">
        <v>180</v>
      </c>
    </row>
    <row r="69" spans="2:31" x14ac:dyDescent="0.25">
      <c r="B69" s="19" t="s">
        <v>135</v>
      </c>
      <c r="C69" s="5">
        <v>38</v>
      </c>
      <c r="D69" s="7" t="s">
        <v>356</v>
      </c>
      <c r="E69" s="7" t="s">
        <v>261</v>
      </c>
      <c r="F69" s="5">
        <v>35</v>
      </c>
      <c r="G69" s="5" t="s">
        <v>179</v>
      </c>
    </row>
    <row r="70" spans="2:31" x14ac:dyDescent="0.25">
      <c r="B70" s="19" t="s">
        <v>135</v>
      </c>
      <c r="C70" s="5">
        <v>39</v>
      </c>
      <c r="D70" s="7" t="s">
        <v>356</v>
      </c>
      <c r="E70" s="7" t="s">
        <v>261</v>
      </c>
      <c r="F70" s="5">
        <v>37</v>
      </c>
      <c r="G70" s="5" t="s">
        <v>180</v>
      </c>
    </row>
    <row r="71" spans="2:31" x14ac:dyDescent="0.25">
      <c r="B71" s="19" t="s">
        <v>135</v>
      </c>
      <c r="C71" s="5">
        <v>40</v>
      </c>
      <c r="D71" s="7" t="s">
        <v>356</v>
      </c>
      <c r="E71" s="7" t="s">
        <v>261</v>
      </c>
      <c r="F71" s="5">
        <v>37</v>
      </c>
      <c r="G71" s="5" t="s">
        <v>179</v>
      </c>
    </row>
    <row r="72" spans="2:31" x14ac:dyDescent="0.25">
      <c r="B72" s="19" t="s">
        <v>135</v>
      </c>
      <c r="C72" s="5">
        <v>41</v>
      </c>
      <c r="D72" s="7" t="s">
        <v>356</v>
      </c>
      <c r="E72" s="7" t="s">
        <v>261</v>
      </c>
      <c r="F72" s="5">
        <v>38</v>
      </c>
      <c r="G72" s="5" t="s">
        <v>179</v>
      </c>
      <c r="AE72" t="s">
        <v>76</v>
      </c>
    </row>
    <row r="73" spans="2:31" x14ac:dyDescent="0.25">
      <c r="B73" s="19" t="s">
        <v>135</v>
      </c>
      <c r="C73" s="5">
        <v>42</v>
      </c>
      <c r="D73" s="7" t="s">
        <v>359</v>
      </c>
      <c r="E73" s="7" t="s">
        <v>261</v>
      </c>
      <c r="F73" s="5">
        <v>31</v>
      </c>
      <c r="G73" s="5" t="s">
        <v>180</v>
      </c>
    </row>
    <row r="74" spans="2:31" x14ac:dyDescent="0.25">
      <c r="B74" s="19" t="s">
        <v>135</v>
      </c>
      <c r="C74" s="5">
        <v>43</v>
      </c>
      <c r="D74" s="7" t="s">
        <v>359</v>
      </c>
      <c r="E74" s="7" t="s">
        <v>261</v>
      </c>
      <c r="F74" s="5">
        <v>31</v>
      </c>
      <c r="G74" s="5" t="s">
        <v>179</v>
      </c>
    </row>
    <row r="75" spans="2:31" x14ac:dyDescent="0.25">
      <c r="B75" s="19" t="s">
        <v>135</v>
      </c>
      <c r="C75" s="5">
        <v>44</v>
      </c>
      <c r="D75" s="7" t="s">
        <v>359</v>
      </c>
      <c r="E75" s="7" t="s">
        <v>261</v>
      </c>
      <c r="F75" s="5">
        <v>32</v>
      </c>
      <c r="G75" s="5" t="s">
        <v>179</v>
      </c>
    </row>
    <row r="76" spans="2:31" x14ac:dyDescent="0.25">
      <c r="B76" s="19" t="s">
        <v>135</v>
      </c>
      <c r="C76" s="5">
        <v>45</v>
      </c>
      <c r="D76" s="7" t="s">
        <v>359</v>
      </c>
      <c r="E76" s="7" t="s">
        <v>261</v>
      </c>
      <c r="F76" s="5">
        <v>33</v>
      </c>
      <c r="G76" s="5" t="s">
        <v>180</v>
      </c>
    </row>
    <row r="77" spans="2:31" x14ac:dyDescent="0.25">
      <c r="B77" s="19" t="s">
        <v>135</v>
      </c>
      <c r="C77" s="5">
        <v>46</v>
      </c>
      <c r="D77" s="7" t="s">
        <v>359</v>
      </c>
      <c r="E77" s="7" t="s">
        <v>261</v>
      </c>
      <c r="F77" s="5">
        <v>34</v>
      </c>
      <c r="G77" s="5" t="s">
        <v>180</v>
      </c>
    </row>
    <row r="78" spans="2:31" x14ac:dyDescent="0.25">
      <c r="B78" s="19" t="s">
        <v>135</v>
      </c>
      <c r="C78" s="5">
        <v>47</v>
      </c>
      <c r="D78" s="7" t="s">
        <v>359</v>
      </c>
      <c r="E78" s="7" t="s">
        <v>261</v>
      </c>
      <c r="F78" s="5">
        <v>35</v>
      </c>
      <c r="G78" s="5" t="s">
        <v>179</v>
      </c>
    </row>
    <row r="79" spans="2:31" x14ac:dyDescent="0.25">
      <c r="B79" s="19" t="s">
        <v>135</v>
      </c>
      <c r="C79" s="5">
        <v>48</v>
      </c>
      <c r="D79" s="7" t="s">
        <v>359</v>
      </c>
      <c r="E79" s="7" t="s">
        <v>261</v>
      </c>
      <c r="F79" s="5">
        <v>36</v>
      </c>
      <c r="G79" s="5" t="s">
        <v>179</v>
      </c>
    </row>
    <row r="80" spans="2:31" x14ac:dyDescent="0.25">
      <c r="B80" s="19" t="s">
        <v>135</v>
      </c>
      <c r="C80" s="5">
        <v>49</v>
      </c>
      <c r="D80" s="7" t="s">
        <v>356</v>
      </c>
      <c r="E80" s="7" t="s">
        <v>304</v>
      </c>
      <c r="F80" s="5">
        <v>45</v>
      </c>
      <c r="G80" s="5" t="s">
        <v>179</v>
      </c>
    </row>
    <row r="81" spans="2:7" x14ac:dyDescent="0.25">
      <c r="B81" s="19" t="s">
        <v>135</v>
      </c>
      <c r="C81" s="5">
        <v>50</v>
      </c>
      <c r="D81" s="7" t="s">
        <v>356</v>
      </c>
      <c r="E81" s="7" t="s">
        <v>304</v>
      </c>
      <c r="F81" s="5">
        <v>45</v>
      </c>
      <c r="G81" s="5" t="s">
        <v>180</v>
      </c>
    </row>
    <row r="82" spans="2:7" x14ac:dyDescent="0.25">
      <c r="B82" t="s">
        <v>138</v>
      </c>
      <c r="C82" s="5"/>
      <c r="D82" s="7" t="s">
        <v>360</v>
      </c>
      <c r="E82" s="7" t="s">
        <v>176</v>
      </c>
      <c r="F82" s="5">
        <v>1</v>
      </c>
      <c r="G82" s="5" t="s">
        <v>180</v>
      </c>
    </row>
    <row r="83" spans="2:7" x14ac:dyDescent="0.25">
      <c r="B83" t="s">
        <v>138</v>
      </c>
      <c r="C83" s="5"/>
      <c r="D83" s="7" t="s">
        <v>360</v>
      </c>
      <c r="E83" s="7" t="s">
        <v>176</v>
      </c>
      <c r="F83" s="5">
        <v>3</v>
      </c>
      <c r="G83" s="5" t="s">
        <v>179</v>
      </c>
    </row>
    <row r="84" spans="2:7" x14ac:dyDescent="0.25">
      <c r="B84" t="s">
        <v>138</v>
      </c>
      <c r="C84" s="5"/>
      <c r="D84" s="7" t="s">
        <v>360</v>
      </c>
      <c r="E84" s="7" t="s">
        <v>176</v>
      </c>
      <c r="F84" s="5">
        <v>4</v>
      </c>
      <c r="G84" s="5" t="s">
        <v>179</v>
      </c>
    </row>
    <row r="85" spans="2:7" x14ac:dyDescent="0.25">
      <c r="B85" t="s">
        <v>138</v>
      </c>
      <c r="C85" s="5"/>
      <c r="D85" s="7" t="s">
        <v>360</v>
      </c>
      <c r="E85" s="7" t="s">
        <v>176</v>
      </c>
      <c r="F85" s="5">
        <v>5</v>
      </c>
      <c r="G85" s="5" t="s">
        <v>180</v>
      </c>
    </row>
    <row r="86" spans="2:7" x14ac:dyDescent="0.25">
      <c r="B86" t="s">
        <v>138</v>
      </c>
      <c r="C86" s="5"/>
      <c r="D86" s="7" t="s">
        <v>361</v>
      </c>
      <c r="E86" s="7" t="s">
        <v>212</v>
      </c>
      <c r="F86" s="5">
        <v>8</v>
      </c>
      <c r="G86" s="5" t="s">
        <v>179</v>
      </c>
    </row>
    <row r="87" spans="2:7" x14ac:dyDescent="0.25">
      <c r="B87" t="s">
        <v>138</v>
      </c>
      <c r="C87" s="5"/>
      <c r="D87" s="7" t="s">
        <v>361</v>
      </c>
      <c r="E87" s="7" t="s">
        <v>212</v>
      </c>
      <c r="F87" s="5">
        <v>16</v>
      </c>
      <c r="G87" s="5" t="s">
        <v>180</v>
      </c>
    </row>
    <row r="88" spans="2:7" x14ac:dyDescent="0.25">
      <c r="B88" t="s">
        <v>138</v>
      </c>
      <c r="C88" s="5"/>
      <c r="D88" s="7" t="s">
        <v>361</v>
      </c>
      <c r="E88" s="7" t="s">
        <v>212</v>
      </c>
      <c r="F88" s="5">
        <v>10</v>
      </c>
      <c r="G88" s="5" t="s">
        <v>180</v>
      </c>
    </row>
    <row r="89" spans="2:7" x14ac:dyDescent="0.25">
      <c r="B89" t="s">
        <v>138</v>
      </c>
      <c r="C89" s="5"/>
      <c r="D89" s="7" t="s">
        <v>361</v>
      </c>
      <c r="E89" s="7" t="s">
        <v>212</v>
      </c>
      <c r="F89" s="5">
        <v>12</v>
      </c>
      <c r="G89" s="5" t="s">
        <v>180</v>
      </c>
    </row>
    <row r="90" spans="2:7" x14ac:dyDescent="0.25">
      <c r="B90" t="s">
        <v>138</v>
      </c>
      <c r="C90" s="5"/>
      <c r="D90" s="7" t="s">
        <v>361</v>
      </c>
      <c r="E90" s="7" t="s">
        <v>212</v>
      </c>
      <c r="F90" s="5">
        <v>15</v>
      </c>
      <c r="G90" s="5" t="s">
        <v>180</v>
      </c>
    </row>
    <row r="91" spans="2:7" x14ac:dyDescent="0.25">
      <c r="B91" t="s">
        <v>138</v>
      </c>
      <c r="C91" s="5"/>
      <c r="D91" s="7" t="s">
        <v>362</v>
      </c>
      <c r="E91" s="7" t="s">
        <v>240</v>
      </c>
      <c r="F91" s="5">
        <v>17</v>
      </c>
      <c r="G91" s="5" t="s">
        <v>180</v>
      </c>
    </row>
    <row r="92" spans="2:7" x14ac:dyDescent="0.25">
      <c r="B92" t="s">
        <v>138</v>
      </c>
      <c r="C92" s="5"/>
      <c r="D92" s="7" t="s">
        <v>362</v>
      </c>
      <c r="E92" s="7" t="s">
        <v>240</v>
      </c>
      <c r="F92" s="5">
        <v>17</v>
      </c>
      <c r="G92" s="5" t="s">
        <v>179</v>
      </c>
    </row>
    <row r="93" spans="2:7" x14ac:dyDescent="0.25">
      <c r="B93" t="s">
        <v>138</v>
      </c>
      <c r="C93" s="5"/>
      <c r="D93" s="7" t="s">
        <v>362</v>
      </c>
      <c r="E93" s="7" t="s">
        <v>240</v>
      </c>
      <c r="F93" s="5">
        <v>18</v>
      </c>
      <c r="G93" s="5" t="s">
        <v>180</v>
      </c>
    </row>
    <row r="94" spans="2:7" x14ac:dyDescent="0.25">
      <c r="B94" t="s">
        <v>138</v>
      </c>
      <c r="C94" s="5"/>
      <c r="D94" s="7" t="s">
        <v>362</v>
      </c>
      <c r="E94" s="7" t="s">
        <v>240</v>
      </c>
      <c r="F94" s="5">
        <v>18</v>
      </c>
      <c r="G94" s="5" t="s">
        <v>179</v>
      </c>
    </row>
    <row r="95" spans="2:7" x14ac:dyDescent="0.25">
      <c r="B95" t="s">
        <v>138</v>
      </c>
      <c r="C95" s="5"/>
      <c r="D95" s="7" t="s">
        <v>362</v>
      </c>
      <c r="E95" s="7" t="s">
        <v>240</v>
      </c>
      <c r="F95" s="5">
        <v>19</v>
      </c>
      <c r="G95" s="5" t="s">
        <v>180</v>
      </c>
    </row>
    <row r="96" spans="2:7" x14ac:dyDescent="0.25">
      <c r="B96" t="s">
        <v>138</v>
      </c>
      <c r="C96" s="5"/>
      <c r="D96" s="7" t="s">
        <v>362</v>
      </c>
      <c r="E96" s="7" t="s">
        <v>240</v>
      </c>
      <c r="F96" s="5">
        <v>19</v>
      </c>
      <c r="G96" s="5" t="s">
        <v>179</v>
      </c>
    </row>
    <row r="97" spans="2:7" x14ac:dyDescent="0.25">
      <c r="B97" t="s">
        <v>138</v>
      </c>
      <c r="C97" s="5"/>
      <c r="D97" s="7" t="s">
        <v>362</v>
      </c>
      <c r="E97" s="7" t="s">
        <v>240</v>
      </c>
      <c r="F97" s="5">
        <v>20</v>
      </c>
      <c r="G97" s="5" t="s">
        <v>179</v>
      </c>
    </row>
    <row r="98" spans="2:7" x14ac:dyDescent="0.25">
      <c r="B98" t="s">
        <v>138</v>
      </c>
      <c r="C98" s="5"/>
      <c r="D98" s="7" t="s">
        <v>362</v>
      </c>
      <c r="E98" s="7" t="s">
        <v>240</v>
      </c>
      <c r="F98" s="5">
        <v>21</v>
      </c>
      <c r="G98" s="5" t="s">
        <v>180</v>
      </c>
    </row>
    <row r="99" spans="2:7" x14ac:dyDescent="0.25">
      <c r="B99" t="s">
        <v>138</v>
      </c>
      <c r="C99" s="5"/>
      <c r="D99" s="7" t="s">
        <v>362</v>
      </c>
      <c r="E99" s="7" t="s">
        <v>240</v>
      </c>
      <c r="F99" s="5">
        <v>23</v>
      </c>
      <c r="G99" s="5" t="s">
        <v>180</v>
      </c>
    </row>
    <row r="100" spans="2:7" x14ac:dyDescent="0.25">
      <c r="B100" t="s">
        <v>138</v>
      </c>
      <c r="C100" s="5"/>
      <c r="D100" s="7" t="s">
        <v>362</v>
      </c>
      <c r="E100" s="7" t="s">
        <v>240</v>
      </c>
      <c r="F100" s="5">
        <v>22</v>
      </c>
      <c r="G100" s="5" t="s">
        <v>180</v>
      </c>
    </row>
    <row r="101" spans="2:7" x14ac:dyDescent="0.25">
      <c r="B101" t="s">
        <v>138</v>
      </c>
      <c r="C101" s="5"/>
      <c r="D101" s="7" t="s">
        <v>361</v>
      </c>
      <c r="E101" s="7" t="s">
        <v>245</v>
      </c>
      <c r="F101" s="5">
        <v>24</v>
      </c>
      <c r="G101" s="5" t="s">
        <v>179</v>
      </c>
    </row>
    <row r="102" spans="2:7" x14ac:dyDescent="0.25">
      <c r="B102" t="s">
        <v>138</v>
      </c>
      <c r="C102" s="5"/>
      <c r="D102" s="7" t="s">
        <v>361</v>
      </c>
      <c r="E102" s="7" t="s">
        <v>245</v>
      </c>
      <c r="F102" s="5">
        <v>25</v>
      </c>
      <c r="G102" s="5" t="s">
        <v>180</v>
      </c>
    </row>
    <row r="103" spans="2:7" x14ac:dyDescent="0.25">
      <c r="B103" t="s">
        <v>138</v>
      </c>
      <c r="C103" s="5"/>
      <c r="D103" s="7" t="s">
        <v>361</v>
      </c>
      <c r="E103" s="7" t="s">
        <v>245</v>
      </c>
      <c r="F103" s="5">
        <v>26</v>
      </c>
      <c r="G103" s="5" t="s">
        <v>180</v>
      </c>
    </row>
    <row r="104" spans="2:7" x14ac:dyDescent="0.25">
      <c r="B104" t="s">
        <v>138</v>
      </c>
      <c r="C104" s="5"/>
      <c r="D104" s="7" t="s">
        <v>361</v>
      </c>
      <c r="E104" s="7" t="s">
        <v>245</v>
      </c>
      <c r="F104" s="5">
        <v>27</v>
      </c>
      <c r="G104" s="5" t="s">
        <v>180</v>
      </c>
    </row>
    <row r="105" spans="2:7" x14ac:dyDescent="0.25">
      <c r="B105" t="s">
        <v>138</v>
      </c>
      <c r="C105" s="5"/>
      <c r="D105" s="7" t="s">
        <v>361</v>
      </c>
      <c r="E105" s="7" t="s">
        <v>245</v>
      </c>
      <c r="F105" s="5">
        <v>28</v>
      </c>
      <c r="G105" s="5" t="s">
        <v>180</v>
      </c>
    </row>
    <row r="106" spans="2:7" x14ac:dyDescent="0.25">
      <c r="B106" t="s">
        <v>138</v>
      </c>
      <c r="C106" s="5"/>
      <c r="D106" s="7" t="s">
        <v>360</v>
      </c>
      <c r="E106" s="7" t="s">
        <v>261</v>
      </c>
      <c r="F106" s="5">
        <v>29</v>
      </c>
      <c r="G106" s="5" t="s">
        <v>180</v>
      </c>
    </row>
    <row r="107" spans="2:7" x14ac:dyDescent="0.25">
      <c r="B107" t="s">
        <v>138</v>
      </c>
      <c r="C107" s="5"/>
      <c r="D107" s="7" t="s">
        <v>360</v>
      </c>
      <c r="E107" s="7" t="s">
        <v>261</v>
      </c>
      <c r="F107" s="5">
        <v>30</v>
      </c>
      <c r="G107" s="5" t="s">
        <v>179</v>
      </c>
    </row>
    <row r="108" spans="2:7" x14ac:dyDescent="0.25">
      <c r="B108" t="s">
        <v>138</v>
      </c>
      <c r="C108" s="5"/>
      <c r="D108" s="7" t="s">
        <v>360</v>
      </c>
      <c r="E108" s="7" t="s">
        <v>261</v>
      </c>
      <c r="F108" s="5">
        <v>31</v>
      </c>
      <c r="G108" s="5" t="s">
        <v>179</v>
      </c>
    </row>
    <row r="109" spans="2:7" x14ac:dyDescent="0.25">
      <c r="B109" t="s">
        <v>138</v>
      </c>
      <c r="C109" s="5"/>
      <c r="D109" s="7" t="s">
        <v>360</v>
      </c>
      <c r="E109" s="7" t="s">
        <v>261</v>
      </c>
      <c r="F109" s="5">
        <v>31</v>
      </c>
      <c r="G109" s="5" t="s">
        <v>180</v>
      </c>
    </row>
    <row r="110" spans="2:7" x14ac:dyDescent="0.25">
      <c r="B110" t="s">
        <v>138</v>
      </c>
      <c r="C110" s="5"/>
      <c r="D110" s="7" t="s">
        <v>360</v>
      </c>
      <c r="E110" s="7" t="s">
        <v>261</v>
      </c>
      <c r="F110" s="5">
        <v>32</v>
      </c>
      <c r="G110" s="5" t="s">
        <v>179</v>
      </c>
    </row>
    <row r="111" spans="2:7" x14ac:dyDescent="0.25">
      <c r="B111" t="s">
        <v>138</v>
      </c>
      <c r="C111" s="5"/>
      <c r="D111" s="7" t="s">
        <v>360</v>
      </c>
      <c r="E111" s="7" t="s">
        <v>261</v>
      </c>
      <c r="F111" s="5">
        <v>33</v>
      </c>
      <c r="G111" s="5" t="s">
        <v>180</v>
      </c>
    </row>
    <row r="112" spans="2:7" x14ac:dyDescent="0.25">
      <c r="B112" t="s">
        <v>138</v>
      </c>
      <c r="C112" s="5"/>
      <c r="D112" s="7" t="s">
        <v>360</v>
      </c>
      <c r="E112" s="7" t="s">
        <v>261</v>
      </c>
      <c r="F112" s="5">
        <v>34</v>
      </c>
      <c r="G112" s="5" t="s">
        <v>180</v>
      </c>
    </row>
    <row r="113" spans="2:7" x14ac:dyDescent="0.25">
      <c r="B113" t="s">
        <v>138</v>
      </c>
      <c r="C113" s="5"/>
      <c r="D113" s="7" t="s">
        <v>360</v>
      </c>
      <c r="E113" s="7" t="s">
        <v>261</v>
      </c>
      <c r="F113" s="5">
        <v>35</v>
      </c>
      <c r="G113" s="5" t="s">
        <v>179</v>
      </c>
    </row>
    <row r="114" spans="2:7" x14ac:dyDescent="0.25">
      <c r="B114" t="s">
        <v>138</v>
      </c>
      <c r="C114" s="5"/>
      <c r="D114" s="7" t="s">
        <v>360</v>
      </c>
      <c r="E114" s="7" t="s">
        <v>261</v>
      </c>
      <c r="F114" s="5">
        <v>36</v>
      </c>
      <c r="G114" s="5" t="s">
        <v>179</v>
      </c>
    </row>
    <row r="115" spans="2:7" x14ac:dyDescent="0.25">
      <c r="B115" t="s">
        <v>138</v>
      </c>
      <c r="C115" s="5"/>
      <c r="D115" s="7" t="s">
        <v>360</v>
      </c>
      <c r="E115" s="7" t="s">
        <v>261</v>
      </c>
      <c r="F115" s="5">
        <v>37</v>
      </c>
      <c r="G115" s="5" t="s">
        <v>180</v>
      </c>
    </row>
    <row r="116" spans="2:7" x14ac:dyDescent="0.25">
      <c r="B116" t="s">
        <v>138</v>
      </c>
      <c r="C116" s="5"/>
      <c r="D116" s="7" t="s">
        <v>360</v>
      </c>
      <c r="E116" s="7" t="s">
        <v>261</v>
      </c>
      <c r="F116" s="5">
        <v>37</v>
      </c>
      <c r="G116" s="5" t="s">
        <v>179</v>
      </c>
    </row>
    <row r="117" spans="2:7" x14ac:dyDescent="0.25">
      <c r="B117" t="s">
        <v>138</v>
      </c>
      <c r="C117" s="5"/>
      <c r="D117" s="7" t="s">
        <v>360</v>
      </c>
      <c r="E117" s="7" t="s">
        <v>261</v>
      </c>
      <c r="F117" s="5">
        <v>38</v>
      </c>
      <c r="G117" s="5" t="s">
        <v>179</v>
      </c>
    </row>
    <row r="118" spans="2:7" x14ac:dyDescent="0.25">
      <c r="B118" t="s">
        <v>138</v>
      </c>
      <c r="C118" s="5"/>
      <c r="D118" s="7" t="s">
        <v>363</v>
      </c>
      <c r="E118" s="7" t="s">
        <v>261</v>
      </c>
      <c r="F118" s="5">
        <v>31</v>
      </c>
      <c r="G118" s="5" t="s">
        <v>180</v>
      </c>
    </row>
    <row r="119" spans="2:7" x14ac:dyDescent="0.25">
      <c r="B119" t="s">
        <v>138</v>
      </c>
      <c r="C119" s="5"/>
      <c r="D119" s="7" t="s">
        <v>363</v>
      </c>
      <c r="E119" s="7" t="s">
        <v>261</v>
      </c>
      <c r="F119" s="5">
        <v>31</v>
      </c>
      <c r="G119" s="5" t="s">
        <v>179</v>
      </c>
    </row>
    <row r="120" spans="2:7" x14ac:dyDescent="0.25">
      <c r="B120" t="s">
        <v>138</v>
      </c>
      <c r="C120" s="5"/>
      <c r="D120" s="7" t="s">
        <v>363</v>
      </c>
      <c r="E120" s="7" t="s">
        <v>261</v>
      </c>
      <c r="F120" s="5">
        <v>32</v>
      </c>
      <c r="G120" s="5" t="s">
        <v>179</v>
      </c>
    </row>
    <row r="121" spans="2:7" x14ac:dyDescent="0.25">
      <c r="B121" t="s">
        <v>138</v>
      </c>
      <c r="C121" s="5"/>
      <c r="D121" s="7" t="s">
        <v>363</v>
      </c>
      <c r="E121" s="7" t="s">
        <v>261</v>
      </c>
      <c r="F121" s="5">
        <v>33</v>
      </c>
      <c r="G121" s="5" t="s">
        <v>180</v>
      </c>
    </row>
    <row r="122" spans="2:7" x14ac:dyDescent="0.25">
      <c r="B122" t="s">
        <v>138</v>
      </c>
      <c r="C122" s="5"/>
      <c r="D122" s="7" t="s">
        <v>363</v>
      </c>
      <c r="E122" s="7" t="s">
        <v>261</v>
      </c>
      <c r="F122" s="5">
        <v>34</v>
      </c>
      <c r="G122" s="5" t="s">
        <v>180</v>
      </c>
    </row>
    <row r="123" spans="2:7" x14ac:dyDescent="0.25">
      <c r="B123" t="s">
        <v>138</v>
      </c>
      <c r="C123" s="5"/>
      <c r="D123" s="7" t="s">
        <v>363</v>
      </c>
      <c r="E123" s="7" t="s">
        <v>261</v>
      </c>
      <c r="F123" s="5">
        <v>35</v>
      </c>
      <c r="G123" s="5" t="s">
        <v>179</v>
      </c>
    </row>
    <row r="124" spans="2:7" x14ac:dyDescent="0.25">
      <c r="B124" t="s">
        <v>138</v>
      </c>
      <c r="C124" s="5"/>
      <c r="D124" s="7" t="s">
        <v>363</v>
      </c>
      <c r="E124" s="7" t="s">
        <v>261</v>
      </c>
      <c r="F124" s="5">
        <v>36</v>
      </c>
      <c r="G124" s="5" t="s">
        <v>179</v>
      </c>
    </row>
    <row r="125" spans="2:7" x14ac:dyDescent="0.25">
      <c r="B125" t="s">
        <v>138</v>
      </c>
      <c r="C125" s="5"/>
      <c r="D125" s="7" t="s">
        <v>360</v>
      </c>
      <c r="E125" s="7" t="s">
        <v>304</v>
      </c>
      <c r="F125" s="5">
        <v>45</v>
      </c>
      <c r="G125" s="5" t="s">
        <v>179</v>
      </c>
    </row>
    <row r="126" spans="2:7" x14ac:dyDescent="0.25">
      <c r="B126" t="s">
        <v>138</v>
      </c>
      <c r="C126" s="5"/>
      <c r="D126" s="7" t="s">
        <v>360</v>
      </c>
      <c r="E126" s="7" t="s">
        <v>304</v>
      </c>
      <c r="F126" s="5">
        <v>45</v>
      </c>
      <c r="G126" s="5" t="s">
        <v>180</v>
      </c>
    </row>
    <row r="127" spans="2:7" x14ac:dyDescent="0.25">
      <c r="B127" t="s">
        <v>139</v>
      </c>
      <c r="C127" s="5"/>
      <c r="D127" s="7" t="s">
        <v>364</v>
      </c>
      <c r="E127" s="7" t="s">
        <v>176</v>
      </c>
      <c r="F127" s="5">
        <v>1</v>
      </c>
      <c r="G127" s="5" t="s">
        <v>179</v>
      </c>
    </row>
    <row r="128" spans="2:7" x14ac:dyDescent="0.25">
      <c r="B128" t="s">
        <v>139</v>
      </c>
      <c r="C128" s="5"/>
      <c r="D128" s="7" t="s">
        <v>364</v>
      </c>
      <c r="E128" s="7" t="s">
        <v>176</v>
      </c>
      <c r="F128" s="5">
        <v>1</v>
      </c>
      <c r="G128" s="5" t="s">
        <v>180</v>
      </c>
    </row>
    <row r="129" spans="2:7" x14ac:dyDescent="0.25">
      <c r="B129" t="s">
        <v>139</v>
      </c>
      <c r="C129" s="5"/>
      <c r="D129" s="7" t="s">
        <v>364</v>
      </c>
      <c r="E129" s="7" t="s">
        <v>176</v>
      </c>
      <c r="F129" s="5">
        <v>2</v>
      </c>
      <c r="G129" s="5" t="s">
        <v>179</v>
      </c>
    </row>
    <row r="130" spans="2:7" x14ac:dyDescent="0.25">
      <c r="B130" t="s">
        <v>139</v>
      </c>
      <c r="C130" s="5"/>
      <c r="D130" s="7" t="s">
        <v>364</v>
      </c>
      <c r="E130" s="7" t="s">
        <v>176</v>
      </c>
      <c r="F130" s="5">
        <v>2</v>
      </c>
      <c r="G130" s="5" t="s">
        <v>180</v>
      </c>
    </row>
    <row r="131" spans="2:7" x14ac:dyDescent="0.25">
      <c r="B131" t="s">
        <v>139</v>
      </c>
      <c r="C131" s="5"/>
      <c r="D131" s="7" t="s">
        <v>365</v>
      </c>
      <c r="E131" s="7" t="s">
        <v>176</v>
      </c>
      <c r="F131" s="5">
        <v>7</v>
      </c>
      <c r="G131" s="5" t="s">
        <v>180</v>
      </c>
    </row>
    <row r="132" spans="2:7" x14ac:dyDescent="0.25">
      <c r="B132" t="s">
        <v>139</v>
      </c>
      <c r="C132" s="5"/>
      <c r="D132" s="7" t="s">
        <v>365</v>
      </c>
      <c r="E132" s="7" t="s">
        <v>176</v>
      </c>
      <c r="F132" s="5">
        <v>3</v>
      </c>
      <c r="G132" s="5" t="s">
        <v>179</v>
      </c>
    </row>
    <row r="133" spans="2:7" x14ac:dyDescent="0.25">
      <c r="B133" t="s">
        <v>139</v>
      </c>
      <c r="C133" s="5"/>
      <c r="D133" s="7" t="s">
        <v>365</v>
      </c>
      <c r="E133" s="7" t="s">
        <v>176</v>
      </c>
      <c r="F133" s="5">
        <v>5</v>
      </c>
      <c r="G133" s="5" t="s">
        <v>180</v>
      </c>
    </row>
    <row r="134" spans="2:7" x14ac:dyDescent="0.25">
      <c r="B134" t="s">
        <v>139</v>
      </c>
      <c r="C134" s="5"/>
      <c r="D134" s="7" t="s">
        <v>365</v>
      </c>
      <c r="E134" s="7" t="s">
        <v>176</v>
      </c>
      <c r="F134" s="5">
        <v>48</v>
      </c>
      <c r="G134" s="5" t="s">
        <v>179</v>
      </c>
    </row>
    <row r="135" spans="2:7" x14ac:dyDescent="0.25">
      <c r="B135" t="s">
        <v>139</v>
      </c>
      <c r="C135" s="5"/>
      <c r="D135" s="7" t="s">
        <v>365</v>
      </c>
      <c r="E135" s="7" t="s">
        <v>176</v>
      </c>
      <c r="F135" s="5">
        <v>48</v>
      </c>
      <c r="G135" s="5" t="s">
        <v>180</v>
      </c>
    </row>
    <row r="136" spans="2:7" x14ac:dyDescent="0.25">
      <c r="B136" t="s">
        <v>139</v>
      </c>
      <c r="C136" s="5"/>
      <c r="D136" s="7" t="s">
        <v>364</v>
      </c>
      <c r="E136" s="7" t="s">
        <v>261</v>
      </c>
      <c r="F136" s="5">
        <v>50</v>
      </c>
      <c r="G136" s="5" t="s">
        <v>180</v>
      </c>
    </row>
    <row r="137" spans="2:7" x14ac:dyDescent="0.25">
      <c r="B137" t="s">
        <v>139</v>
      </c>
      <c r="C137" s="5"/>
      <c r="D137" s="7" t="s">
        <v>364</v>
      </c>
      <c r="E137" s="7" t="s">
        <v>261</v>
      </c>
      <c r="F137" s="5">
        <v>51</v>
      </c>
      <c r="G137" s="5" t="s">
        <v>179</v>
      </c>
    </row>
    <row r="138" spans="2:7" x14ac:dyDescent="0.25">
      <c r="B138" t="s">
        <v>139</v>
      </c>
      <c r="C138" s="5"/>
      <c r="D138" s="7" t="s">
        <v>364</v>
      </c>
      <c r="E138" s="7" t="s">
        <v>261</v>
      </c>
      <c r="F138" s="5">
        <v>49</v>
      </c>
      <c r="G138" s="5" t="s">
        <v>180</v>
      </c>
    </row>
    <row r="139" spans="2:7" x14ac:dyDescent="0.25">
      <c r="B139" t="s">
        <v>139</v>
      </c>
      <c r="C139" s="5"/>
      <c r="D139" s="7" t="s">
        <v>364</v>
      </c>
      <c r="E139" s="7" t="s">
        <v>261</v>
      </c>
      <c r="F139" s="5">
        <v>52</v>
      </c>
      <c r="G139" s="5" t="s">
        <v>179</v>
      </c>
    </row>
    <row r="140" spans="2:7" x14ac:dyDescent="0.25">
      <c r="B140" t="s">
        <v>139</v>
      </c>
      <c r="C140" s="5"/>
      <c r="D140" s="7" t="s">
        <v>365</v>
      </c>
      <c r="E140" s="7" t="s">
        <v>261</v>
      </c>
      <c r="F140" s="5">
        <v>49</v>
      </c>
      <c r="G140" s="5" t="s">
        <v>179</v>
      </c>
    </row>
    <row r="141" spans="2:7" x14ac:dyDescent="0.25">
      <c r="B141" t="s">
        <v>139</v>
      </c>
      <c r="C141" s="5"/>
      <c r="D141" s="7" t="s">
        <v>365</v>
      </c>
      <c r="E141" s="7" t="s">
        <v>261</v>
      </c>
      <c r="F141" s="5">
        <v>53</v>
      </c>
      <c r="G141" s="5" t="s">
        <v>180</v>
      </c>
    </row>
    <row r="142" spans="2:7" x14ac:dyDescent="0.25">
      <c r="B142" t="s">
        <v>139</v>
      </c>
      <c r="C142" s="5"/>
      <c r="D142" s="7" t="s">
        <v>365</v>
      </c>
      <c r="E142" s="7" t="s">
        <v>261</v>
      </c>
      <c r="F142" s="5">
        <v>54</v>
      </c>
      <c r="G142" s="5" t="s">
        <v>180</v>
      </c>
    </row>
    <row r="143" spans="2:7" x14ac:dyDescent="0.25">
      <c r="B143" t="s">
        <v>139</v>
      </c>
      <c r="C143" s="5"/>
      <c r="D143" s="7" t="s">
        <v>365</v>
      </c>
      <c r="E143" s="7" t="s">
        <v>261</v>
      </c>
      <c r="F143" s="5">
        <v>55</v>
      </c>
      <c r="G143" s="5" t="s">
        <v>179</v>
      </c>
    </row>
    <row r="144" spans="2:7" x14ac:dyDescent="0.25">
      <c r="B144" t="s">
        <v>139</v>
      </c>
      <c r="C144" s="5"/>
      <c r="D144" s="7" t="s">
        <v>365</v>
      </c>
      <c r="E144" s="7" t="s">
        <v>261</v>
      </c>
      <c r="F144" s="5">
        <v>56</v>
      </c>
      <c r="G144" s="5" t="s">
        <v>179</v>
      </c>
    </row>
    <row r="145" spans="2:7" x14ac:dyDescent="0.25">
      <c r="B145" t="s">
        <v>139</v>
      </c>
      <c r="C145" s="5"/>
      <c r="D145" s="7" t="s">
        <v>366</v>
      </c>
      <c r="E145" s="7" t="s">
        <v>212</v>
      </c>
      <c r="F145" s="5">
        <v>8</v>
      </c>
      <c r="G145" s="5" t="s">
        <v>179</v>
      </c>
    </row>
    <row r="146" spans="2:7" x14ac:dyDescent="0.25">
      <c r="B146" t="s">
        <v>139</v>
      </c>
      <c r="C146" s="5"/>
      <c r="D146" s="7" t="s">
        <v>366</v>
      </c>
      <c r="E146" s="7" t="s">
        <v>212</v>
      </c>
      <c r="F146" s="5">
        <v>16</v>
      </c>
      <c r="G146" s="5" t="s">
        <v>180</v>
      </c>
    </row>
    <row r="147" spans="2:7" x14ac:dyDescent="0.25">
      <c r="B147" t="s">
        <v>139</v>
      </c>
      <c r="C147" s="5"/>
      <c r="D147" s="7" t="s">
        <v>366</v>
      </c>
      <c r="E147" s="7" t="s">
        <v>212</v>
      </c>
      <c r="F147" s="5">
        <v>13</v>
      </c>
      <c r="G147" s="5" t="s">
        <v>180</v>
      </c>
    </row>
    <row r="148" spans="2:7" x14ac:dyDescent="0.25">
      <c r="B148" t="s">
        <v>139</v>
      </c>
      <c r="C148" s="5"/>
      <c r="D148" s="7" t="s">
        <v>366</v>
      </c>
      <c r="E148" s="7" t="s">
        <v>212</v>
      </c>
      <c r="F148" s="5">
        <v>14</v>
      </c>
      <c r="G148" s="5" t="s">
        <v>180</v>
      </c>
    </row>
    <row r="149" spans="2:7" x14ac:dyDescent="0.25">
      <c r="B149" t="s">
        <v>139</v>
      </c>
      <c r="C149" s="5"/>
      <c r="D149" s="7" t="s">
        <v>366</v>
      </c>
      <c r="E149" s="7" t="s">
        <v>212</v>
      </c>
      <c r="F149" s="5">
        <v>15</v>
      </c>
      <c r="G149" s="5" t="s">
        <v>180</v>
      </c>
    </row>
    <row r="150" spans="2:7" x14ac:dyDescent="0.25">
      <c r="B150" t="s">
        <v>139</v>
      </c>
      <c r="C150" s="5"/>
      <c r="D150" s="7" t="s">
        <v>367</v>
      </c>
      <c r="E150" s="7" t="s">
        <v>212</v>
      </c>
      <c r="F150" s="5">
        <v>8</v>
      </c>
      <c r="G150" s="5" t="s">
        <v>179</v>
      </c>
    </row>
    <row r="151" spans="2:7" x14ac:dyDescent="0.25">
      <c r="B151" t="s">
        <v>139</v>
      </c>
      <c r="C151" s="5"/>
      <c r="D151" s="7" t="s">
        <v>367</v>
      </c>
      <c r="E151" s="7" t="s">
        <v>212</v>
      </c>
      <c r="F151" s="5">
        <v>16</v>
      </c>
      <c r="G151" s="5" t="s">
        <v>180</v>
      </c>
    </row>
    <row r="152" spans="2:7" x14ac:dyDescent="0.25">
      <c r="B152" t="s">
        <v>139</v>
      </c>
      <c r="C152" s="5"/>
      <c r="D152" s="7" t="s">
        <v>367</v>
      </c>
      <c r="E152" s="7" t="s">
        <v>212</v>
      </c>
      <c r="F152" s="5">
        <v>11</v>
      </c>
      <c r="G152" s="5" t="s">
        <v>180</v>
      </c>
    </row>
    <row r="153" spans="2:7" x14ac:dyDescent="0.25">
      <c r="B153" t="s">
        <v>139</v>
      </c>
      <c r="C153" s="5"/>
      <c r="D153" s="7" t="s">
        <v>367</v>
      </c>
      <c r="E153" s="7" t="s">
        <v>212</v>
      </c>
      <c r="F153" s="5">
        <v>15</v>
      </c>
      <c r="G153" s="5" t="s">
        <v>180</v>
      </c>
    </row>
    <row r="154" spans="2:7" x14ac:dyDescent="0.25">
      <c r="B154" t="s">
        <v>139</v>
      </c>
      <c r="C154" s="5"/>
      <c r="D154" s="7" t="s">
        <v>367</v>
      </c>
      <c r="E154" s="7" t="s">
        <v>245</v>
      </c>
      <c r="F154" s="5">
        <v>24</v>
      </c>
      <c r="G154" s="5" t="s">
        <v>179</v>
      </c>
    </row>
    <row r="155" spans="2:7" x14ac:dyDescent="0.25">
      <c r="B155" t="s">
        <v>139</v>
      </c>
      <c r="C155" s="5"/>
      <c r="D155" s="7" t="s">
        <v>367</v>
      </c>
      <c r="E155" s="7" t="s">
        <v>245</v>
      </c>
      <c r="F155" s="5">
        <v>26</v>
      </c>
      <c r="G155" s="5" t="s">
        <v>180</v>
      </c>
    </row>
    <row r="156" spans="2:7" x14ac:dyDescent="0.25">
      <c r="B156" t="s">
        <v>139</v>
      </c>
      <c r="C156" s="5"/>
      <c r="D156" s="7" t="s">
        <v>367</v>
      </c>
      <c r="E156" s="7" t="s">
        <v>245</v>
      </c>
      <c r="F156" s="5">
        <v>28</v>
      </c>
      <c r="G156" s="5" t="s">
        <v>180</v>
      </c>
    </row>
    <row r="157" spans="2:7" x14ac:dyDescent="0.25">
      <c r="B157" t="s">
        <v>139</v>
      </c>
      <c r="C157" s="5"/>
      <c r="D157" s="7" t="s">
        <v>368</v>
      </c>
      <c r="E157" s="7" t="s">
        <v>240</v>
      </c>
      <c r="F157" s="5">
        <v>17</v>
      </c>
      <c r="G157" s="5" t="s">
        <v>180</v>
      </c>
    </row>
    <row r="158" spans="2:7" x14ac:dyDescent="0.25">
      <c r="B158" t="s">
        <v>139</v>
      </c>
      <c r="C158" s="5"/>
      <c r="D158" s="7" t="s">
        <v>368</v>
      </c>
      <c r="E158" s="7" t="s">
        <v>240</v>
      </c>
      <c r="F158" s="5">
        <v>17</v>
      </c>
      <c r="G158" s="5" t="s">
        <v>179</v>
      </c>
    </row>
    <row r="159" spans="2:7" x14ac:dyDescent="0.25">
      <c r="B159" t="s">
        <v>139</v>
      </c>
      <c r="C159" s="5"/>
      <c r="D159" s="7" t="s">
        <v>368</v>
      </c>
      <c r="E159" s="7" t="s">
        <v>240</v>
      </c>
      <c r="F159" s="5">
        <v>18</v>
      </c>
      <c r="G159" s="5" t="s">
        <v>180</v>
      </c>
    </row>
    <row r="160" spans="2:7" x14ac:dyDescent="0.25">
      <c r="B160" t="s">
        <v>139</v>
      </c>
      <c r="C160" s="5"/>
      <c r="D160" s="7" t="s">
        <v>368</v>
      </c>
      <c r="E160" s="7" t="s">
        <v>240</v>
      </c>
      <c r="F160" s="5">
        <v>18</v>
      </c>
      <c r="G160" s="5" t="s">
        <v>179</v>
      </c>
    </row>
    <row r="161" spans="2:10" x14ac:dyDescent="0.25">
      <c r="B161" t="s">
        <v>139</v>
      </c>
      <c r="C161" s="5"/>
      <c r="D161" s="7" t="s">
        <v>368</v>
      </c>
      <c r="E161" s="7" t="s">
        <v>240</v>
      </c>
      <c r="F161" s="5">
        <v>19</v>
      </c>
      <c r="G161" s="5" t="s">
        <v>180</v>
      </c>
    </row>
    <row r="162" spans="2:10" x14ac:dyDescent="0.25">
      <c r="B162" t="s">
        <v>139</v>
      </c>
      <c r="C162" s="5"/>
      <c r="D162" s="7" t="s">
        <v>368</v>
      </c>
      <c r="E162" s="7" t="s">
        <v>240</v>
      </c>
      <c r="F162" s="5">
        <v>19</v>
      </c>
      <c r="G162" s="5" t="s">
        <v>179</v>
      </c>
    </row>
    <row r="163" spans="2:10" x14ac:dyDescent="0.25">
      <c r="B163" t="s">
        <v>139</v>
      </c>
      <c r="C163" s="5"/>
      <c r="D163" s="7" t="s">
        <v>368</v>
      </c>
      <c r="E163" s="7" t="s">
        <v>240</v>
      </c>
      <c r="F163" s="5">
        <v>23</v>
      </c>
      <c r="G163" s="5" t="s">
        <v>180</v>
      </c>
    </row>
    <row r="164" spans="2:10" x14ac:dyDescent="0.25">
      <c r="B164" t="s">
        <v>139</v>
      </c>
      <c r="C164" s="5"/>
      <c r="D164" s="7" t="s">
        <v>368</v>
      </c>
      <c r="E164" s="7" t="s">
        <v>240</v>
      </c>
      <c r="F164" s="5">
        <v>23</v>
      </c>
      <c r="G164" s="5" t="s">
        <v>179</v>
      </c>
      <c r="J164" t="s">
        <v>76</v>
      </c>
    </row>
    <row r="165" spans="2:10" x14ac:dyDescent="0.25">
      <c r="B165" t="s">
        <v>139</v>
      </c>
      <c r="C165" s="5"/>
      <c r="D165" s="7" t="s">
        <v>369</v>
      </c>
      <c r="E165" s="7" t="s">
        <v>240</v>
      </c>
      <c r="F165" s="5">
        <v>18</v>
      </c>
      <c r="G165" s="5" t="s">
        <v>180</v>
      </c>
    </row>
    <row r="166" spans="2:10" x14ac:dyDescent="0.25">
      <c r="B166" t="s">
        <v>139</v>
      </c>
      <c r="C166" s="5"/>
      <c r="D166" s="7" t="s">
        <v>369</v>
      </c>
      <c r="E166" s="7" t="s">
        <v>240</v>
      </c>
      <c r="F166" s="5">
        <v>18</v>
      </c>
      <c r="G166" s="5" t="s">
        <v>179</v>
      </c>
    </row>
    <row r="167" spans="2:10" x14ac:dyDescent="0.25">
      <c r="B167" t="s">
        <v>139</v>
      </c>
      <c r="C167" s="5"/>
      <c r="D167" s="7" t="s">
        <v>369</v>
      </c>
      <c r="E167" s="7" t="s">
        <v>240</v>
      </c>
      <c r="F167" s="5">
        <v>23</v>
      </c>
      <c r="G167" s="5" t="s">
        <v>179</v>
      </c>
    </row>
    <row r="168" spans="2:10" x14ac:dyDescent="0.25">
      <c r="B168" t="s">
        <v>139</v>
      </c>
      <c r="C168" s="5"/>
      <c r="D168" s="7" t="s">
        <v>369</v>
      </c>
      <c r="E168" s="7" t="s">
        <v>240</v>
      </c>
      <c r="F168" s="5">
        <v>23</v>
      </c>
      <c r="G168" s="5" t="s">
        <v>180</v>
      </c>
    </row>
    <row r="169" spans="2:10" x14ac:dyDescent="0.25">
      <c r="B169" t="s">
        <v>139</v>
      </c>
      <c r="C169" s="5"/>
      <c r="D169" s="7" t="s">
        <v>364</v>
      </c>
      <c r="E169" s="7" t="s">
        <v>304</v>
      </c>
      <c r="F169" s="5">
        <v>46</v>
      </c>
      <c r="G169" s="5" t="s">
        <v>180</v>
      </c>
    </row>
    <row r="170" spans="2:10" x14ac:dyDescent="0.25">
      <c r="B170" t="s">
        <v>139</v>
      </c>
      <c r="C170" s="5"/>
      <c r="D170" s="7" t="s">
        <v>364</v>
      </c>
      <c r="E170" s="7" t="s">
        <v>304</v>
      </c>
      <c r="F170" s="5">
        <v>46</v>
      </c>
      <c r="G170" s="5" t="s">
        <v>179</v>
      </c>
    </row>
    <row r="171" spans="2:10" x14ac:dyDescent="0.25">
      <c r="B171" t="s">
        <v>139</v>
      </c>
      <c r="C171" s="5"/>
      <c r="D171" s="7" t="s">
        <v>365</v>
      </c>
      <c r="E171" s="7" t="s">
        <v>304</v>
      </c>
      <c r="F171" s="5">
        <v>47</v>
      </c>
      <c r="G171" s="5" t="s">
        <v>179</v>
      </c>
    </row>
    <row r="172" spans="2:10" x14ac:dyDescent="0.25">
      <c r="B172" t="s">
        <v>139</v>
      </c>
      <c r="C172" s="5"/>
      <c r="D172" s="7" t="s">
        <v>365</v>
      </c>
      <c r="E172" s="7" t="s">
        <v>304</v>
      </c>
      <c r="F172" s="5">
        <v>47</v>
      </c>
      <c r="G172" s="5" t="s">
        <v>180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88F1-834A-4F53-9FA8-2B3F35239FEA}">
  <dimension ref="A1:N77"/>
  <sheetViews>
    <sheetView topLeftCell="A17" zoomScaleNormal="100" workbookViewId="0">
      <selection activeCell="F17" sqref="F17"/>
    </sheetView>
  </sheetViews>
  <sheetFormatPr defaultRowHeight="15" x14ac:dyDescent="0.25"/>
  <cols>
    <col min="1" max="1" width="12" customWidth="1"/>
    <col min="2" max="2" width="2.42578125" customWidth="1"/>
    <col min="3" max="3" width="4" customWidth="1"/>
    <col min="5" max="5" width="41.7109375" bestFit="1" customWidth="1"/>
    <col min="6" max="6" width="48.5703125" customWidth="1"/>
    <col min="7" max="7" width="15.28515625" bestFit="1" customWidth="1"/>
    <col min="8" max="8" width="13.5703125" bestFit="1" customWidth="1"/>
    <col min="9" max="9" width="13.85546875" bestFit="1" customWidth="1"/>
    <col min="10" max="10" width="20" bestFit="1" customWidth="1"/>
  </cols>
  <sheetData>
    <row r="1" spans="1:14" x14ac:dyDescent="0.25">
      <c r="A1" t="s">
        <v>203</v>
      </c>
    </row>
    <row r="4" spans="1:14" ht="21" x14ac:dyDescent="0.35">
      <c r="D4" s="10" t="s">
        <v>181</v>
      </c>
    </row>
    <row r="5" spans="1:14" x14ac:dyDescent="0.25">
      <c r="D5" s="4" t="s">
        <v>73</v>
      </c>
      <c r="E5" s="8" t="s">
        <v>74</v>
      </c>
      <c r="F5" s="8" t="s">
        <v>75</v>
      </c>
      <c r="G5" s="8" t="s">
        <v>200</v>
      </c>
      <c r="H5" s="8" t="s">
        <v>184</v>
      </c>
      <c r="I5" s="8" t="s">
        <v>183</v>
      </c>
      <c r="J5" s="8" t="s">
        <v>182</v>
      </c>
    </row>
    <row r="6" spans="1:14" x14ac:dyDescent="0.25">
      <c r="A6" t="s">
        <v>11</v>
      </c>
      <c r="D6" s="5">
        <v>1</v>
      </c>
      <c r="E6" s="7" t="s">
        <v>185</v>
      </c>
      <c r="F6" s="7" t="s">
        <v>114</v>
      </c>
      <c r="G6" s="5">
        <v>30</v>
      </c>
      <c r="H6" s="5" t="s">
        <v>80</v>
      </c>
      <c r="I6" s="5" t="s">
        <v>80</v>
      </c>
      <c r="J6" s="5">
        <v>10</v>
      </c>
    </row>
    <row r="7" spans="1:14" x14ac:dyDescent="0.25">
      <c r="D7" s="5">
        <v>2</v>
      </c>
      <c r="E7" s="7" t="s">
        <v>186</v>
      </c>
      <c r="F7" s="7" t="s">
        <v>112</v>
      </c>
      <c r="G7" s="5">
        <v>32</v>
      </c>
      <c r="H7" s="5" t="s">
        <v>80</v>
      </c>
      <c r="I7" s="5" t="s">
        <v>80</v>
      </c>
      <c r="J7" s="5">
        <v>48</v>
      </c>
    </row>
    <row r="8" spans="1:14" ht="30" x14ac:dyDescent="0.25">
      <c r="D8" s="5">
        <v>3</v>
      </c>
      <c r="E8" s="7" t="s">
        <v>196</v>
      </c>
      <c r="F8" s="17" t="s">
        <v>111</v>
      </c>
      <c r="G8" s="20">
        <v>33</v>
      </c>
      <c r="H8" s="5" t="s">
        <v>80</v>
      </c>
      <c r="I8" s="5" t="s">
        <v>80</v>
      </c>
      <c r="J8" s="5">
        <v>11</v>
      </c>
      <c r="L8" t="s">
        <v>76</v>
      </c>
    </row>
    <row r="9" spans="1:14" x14ac:dyDescent="0.25">
      <c r="D9" s="5">
        <v>4</v>
      </c>
      <c r="E9" s="7" t="s">
        <v>197</v>
      </c>
      <c r="F9" s="7" t="s">
        <v>113</v>
      </c>
      <c r="G9" s="5">
        <v>31</v>
      </c>
      <c r="H9" s="5" t="s">
        <v>80</v>
      </c>
      <c r="I9" s="5" t="s">
        <v>80</v>
      </c>
      <c r="J9" s="5">
        <v>12</v>
      </c>
    </row>
    <row r="10" spans="1:14" ht="30" x14ac:dyDescent="0.25">
      <c r="D10" s="5">
        <v>5</v>
      </c>
      <c r="E10" s="7" t="s">
        <v>198</v>
      </c>
      <c r="F10" s="17" t="s">
        <v>110</v>
      </c>
      <c r="G10" s="20">
        <v>35</v>
      </c>
      <c r="H10" s="5" t="s">
        <v>80</v>
      </c>
      <c r="I10" s="5" t="s">
        <v>80</v>
      </c>
      <c r="J10" s="5">
        <v>13</v>
      </c>
    </row>
    <row r="11" spans="1:14" x14ac:dyDescent="0.25">
      <c r="D11" s="5">
        <v>6</v>
      </c>
      <c r="E11" s="7" t="s">
        <v>201</v>
      </c>
      <c r="F11" s="7" t="s">
        <v>114</v>
      </c>
      <c r="G11" s="20">
        <v>30</v>
      </c>
      <c r="H11" s="5" t="s">
        <v>80</v>
      </c>
      <c r="I11" s="5" t="s">
        <v>80</v>
      </c>
      <c r="J11" s="5">
        <v>49</v>
      </c>
    </row>
    <row r="12" spans="1:14" ht="30" x14ac:dyDescent="0.25">
      <c r="D12" s="5">
        <v>7</v>
      </c>
      <c r="E12" s="7" t="s">
        <v>202</v>
      </c>
      <c r="F12" s="17" t="s">
        <v>109</v>
      </c>
      <c r="G12" s="20">
        <v>34</v>
      </c>
      <c r="H12" s="5" t="s">
        <v>80</v>
      </c>
      <c r="I12" s="5" t="s">
        <v>80</v>
      </c>
      <c r="J12" s="5">
        <v>47</v>
      </c>
    </row>
    <row r="13" spans="1:14" x14ac:dyDescent="0.25">
      <c r="D13" s="5">
        <v>48</v>
      </c>
      <c r="E13" s="7" t="s">
        <v>317</v>
      </c>
      <c r="F13" s="7" t="s">
        <v>114</v>
      </c>
      <c r="G13" s="5">
        <v>30</v>
      </c>
      <c r="H13" s="5" t="s">
        <v>80</v>
      </c>
      <c r="I13" s="5" t="s">
        <v>80</v>
      </c>
      <c r="J13" s="5">
        <v>48</v>
      </c>
    </row>
    <row r="14" spans="1:14" x14ac:dyDescent="0.25">
      <c r="D14" s="2"/>
      <c r="F14" s="21"/>
      <c r="G14" s="25"/>
      <c r="H14" s="2"/>
      <c r="I14" s="2"/>
      <c r="J14" s="2"/>
    </row>
    <row r="16" spans="1:14" x14ac:dyDescent="0.25">
      <c r="D16" s="4" t="s">
        <v>73</v>
      </c>
      <c r="E16" s="8" t="s">
        <v>74</v>
      </c>
      <c r="F16" s="8" t="s">
        <v>75</v>
      </c>
      <c r="G16" s="8" t="s">
        <v>200</v>
      </c>
      <c r="H16" s="8" t="s">
        <v>184</v>
      </c>
      <c r="I16" s="8" t="s">
        <v>183</v>
      </c>
      <c r="J16" s="8" t="s">
        <v>182</v>
      </c>
      <c r="N16" t="s">
        <v>76</v>
      </c>
    </row>
    <row r="17" spans="1:10" ht="30" x14ac:dyDescent="0.25">
      <c r="A17" t="s">
        <v>3</v>
      </c>
      <c r="D17" s="5">
        <v>8</v>
      </c>
      <c r="E17" s="7" t="s">
        <v>205</v>
      </c>
      <c r="F17" s="21" t="s">
        <v>204</v>
      </c>
      <c r="G17" s="5">
        <v>36</v>
      </c>
      <c r="H17" s="5" t="s">
        <v>80</v>
      </c>
      <c r="I17" s="5" t="s">
        <v>80</v>
      </c>
      <c r="J17" s="5">
        <v>14</v>
      </c>
    </row>
    <row r="18" spans="1:10" x14ac:dyDescent="0.25">
      <c r="C18" s="21"/>
      <c r="D18" s="5">
        <v>9</v>
      </c>
      <c r="E18" s="7" t="s">
        <v>334</v>
      </c>
      <c r="F18" s="17" t="s">
        <v>206</v>
      </c>
      <c r="G18" s="5">
        <v>39</v>
      </c>
      <c r="H18" s="5" t="s">
        <v>80</v>
      </c>
      <c r="I18" s="5" t="s">
        <v>80</v>
      </c>
      <c r="J18" s="5">
        <v>59</v>
      </c>
    </row>
    <row r="19" spans="1:10" x14ac:dyDescent="0.25">
      <c r="D19" s="5">
        <v>10</v>
      </c>
      <c r="E19" s="7" t="s">
        <v>207</v>
      </c>
      <c r="F19" s="17" t="s">
        <v>335</v>
      </c>
      <c r="G19" s="20">
        <v>41</v>
      </c>
      <c r="H19" s="5" t="s">
        <v>80</v>
      </c>
      <c r="I19" s="5" t="s">
        <v>80</v>
      </c>
      <c r="J19" s="5">
        <v>17</v>
      </c>
    </row>
    <row r="20" spans="1:10" x14ac:dyDescent="0.25">
      <c r="D20" s="5">
        <v>11</v>
      </c>
      <c r="E20" s="7" t="s">
        <v>208</v>
      </c>
      <c r="F20" s="13" t="s">
        <v>108</v>
      </c>
      <c r="G20" s="5">
        <v>42</v>
      </c>
      <c r="H20" s="5" t="s">
        <v>80</v>
      </c>
      <c r="I20" s="5" t="s">
        <v>80</v>
      </c>
      <c r="J20" s="5">
        <v>60</v>
      </c>
    </row>
    <row r="21" spans="1:10" x14ac:dyDescent="0.25">
      <c r="D21" s="5">
        <v>12</v>
      </c>
      <c r="E21" s="7" t="s">
        <v>209</v>
      </c>
      <c r="F21" s="13" t="s">
        <v>116</v>
      </c>
      <c r="G21" s="20">
        <v>43</v>
      </c>
      <c r="H21" s="5" t="s">
        <v>80</v>
      </c>
      <c r="I21" s="5" t="s">
        <v>80</v>
      </c>
      <c r="J21" s="5">
        <v>15</v>
      </c>
    </row>
    <row r="22" spans="1:10" x14ac:dyDescent="0.25">
      <c r="D22" s="5">
        <v>13</v>
      </c>
      <c r="E22" s="7" t="s">
        <v>210</v>
      </c>
      <c r="F22" s="13" t="s">
        <v>106</v>
      </c>
      <c r="G22" s="20">
        <v>38</v>
      </c>
      <c r="H22" s="5" t="s">
        <v>80</v>
      </c>
      <c r="I22" s="5" t="s">
        <v>80</v>
      </c>
      <c r="J22" s="5">
        <v>57</v>
      </c>
    </row>
    <row r="23" spans="1:10" x14ac:dyDescent="0.25">
      <c r="D23" s="5">
        <v>14</v>
      </c>
      <c r="E23" s="7" t="s">
        <v>211</v>
      </c>
      <c r="F23" s="13" t="s">
        <v>105</v>
      </c>
      <c r="G23" s="20">
        <v>37</v>
      </c>
      <c r="H23" s="5" t="s">
        <v>80</v>
      </c>
      <c r="I23" s="5" t="s">
        <v>80</v>
      </c>
      <c r="J23" s="5">
        <v>58</v>
      </c>
    </row>
    <row r="24" spans="1:10" x14ac:dyDescent="0.25">
      <c r="D24" s="5">
        <v>15</v>
      </c>
      <c r="E24" s="7" t="s">
        <v>218</v>
      </c>
      <c r="F24" s="13" t="s">
        <v>107</v>
      </c>
      <c r="G24" s="20">
        <v>40</v>
      </c>
      <c r="H24" s="5" t="s">
        <v>80</v>
      </c>
      <c r="I24" s="5" t="s">
        <v>80</v>
      </c>
      <c r="J24" s="5">
        <v>16</v>
      </c>
    </row>
    <row r="25" spans="1:10" x14ac:dyDescent="0.25">
      <c r="D25" s="5">
        <v>16</v>
      </c>
      <c r="E25" s="7" t="s">
        <v>217</v>
      </c>
      <c r="F25" s="17" t="s">
        <v>206</v>
      </c>
      <c r="G25" s="5">
        <v>39</v>
      </c>
      <c r="H25" s="5" t="s">
        <v>80</v>
      </c>
      <c r="I25" s="5" t="s">
        <v>80</v>
      </c>
      <c r="J25" s="5">
        <v>18</v>
      </c>
    </row>
    <row r="26" spans="1:10" x14ac:dyDescent="0.25">
      <c r="D26" s="5">
        <v>57</v>
      </c>
      <c r="E26" s="7" t="s">
        <v>333</v>
      </c>
      <c r="F26" s="13" t="s">
        <v>107</v>
      </c>
      <c r="G26" s="5">
        <v>40</v>
      </c>
      <c r="H26" s="5" t="s">
        <v>80</v>
      </c>
      <c r="I26" s="5" t="s">
        <v>80</v>
      </c>
      <c r="J26" s="5">
        <v>58</v>
      </c>
    </row>
    <row r="27" spans="1:10" x14ac:dyDescent="0.25">
      <c r="D27" s="2"/>
      <c r="F27" s="21"/>
      <c r="G27" s="2"/>
      <c r="H27" s="2"/>
      <c r="I27" s="2"/>
      <c r="J27" s="2"/>
    </row>
    <row r="28" spans="1:10" x14ac:dyDescent="0.25">
      <c r="F28" s="21"/>
    </row>
    <row r="29" spans="1:10" x14ac:dyDescent="0.25">
      <c r="D29" s="4" t="s">
        <v>73</v>
      </c>
      <c r="E29" s="8" t="s">
        <v>74</v>
      </c>
      <c r="F29" s="8" t="s">
        <v>75</v>
      </c>
      <c r="G29" s="8" t="s">
        <v>200</v>
      </c>
      <c r="H29" s="8" t="s">
        <v>184</v>
      </c>
      <c r="I29" s="8" t="s">
        <v>183</v>
      </c>
      <c r="J29" s="8" t="s">
        <v>182</v>
      </c>
    </row>
    <row r="30" spans="1:10" x14ac:dyDescent="0.25">
      <c r="A30" t="s">
        <v>257</v>
      </c>
      <c r="D30" s="5">
        <v>17</v>
      </c>
      <c r="E30" s="7" t="s">
        <v>223</v>
      </c>
      <c r="F30" s="21" t="s">
        <v>225</v>
      </c>
      <c r="G30" s="5">
        <v>44</v>
      </c>
      <c r="H30" s="5">
        <v>192030</v>
      </c>
      <c r="I30" s="5">
        <v>192020</v>
      </c>
      <c r="J30" s="5"/>
    </row>
    <row r="31" spans="1:10" x14ac:dyDescent="0.25">
      <c r="D31" s="5">
        <v>18</v>
      </c>
      <c r="E31" s="7" t="s">
        <v>224</v>
      </c>
      <c r="F31" s="17" t="s">
        <v>226</v>
      </c>
      <c r="G31" s="5">
        <v>45</v>
      </c>
      <c r="H31" s="5" t="s">
        <v>80</v>
      </c>
      <c r="I31" s="5" t="s">
        <v>80</v>
      </c>
      <c r="J31" s="5">
        <v>19</v>
      </c>
    </row>
    <row r="32" spans="1:10" x14ac:dyDescent="0.25">
      <c r="D32" s="5">
        <v>19</v>
      </c>
      <c r="E32" s="7" t="s">
        <v>227</v>
      </c>
      <c r="F32" s="17" t="s">
        <v>228</v>
      </c>
      <c r="G32" s="20">
        <v>46</v>
      </c>
      <c r="H32" s="5">
        <v>192030</v>
      </c>
      <c r="I32" s="5">
        <v>192020</v>
      </c>
      <c r="J32" s="5"/>
    </row>
    <row r="33" spans="1:14" x14ac:dyDescent="0.25">
      <c r="D33" s="5">
        <v>20</v>
      </c>
      <c r="E33" s="7" t="s">
        <v>233</v>
      </c>
      <c r="F33" s="13" t="s">
        <v>229</v>
      </c>
      <c r="G33" s="5">
        <v>37</v>
      </c>
      <c r="H33" s="5" t="s">
        <v>80</v>
      </c>
      <c r="I33" s="5" t="s">
        <v>80</v>
      </c>
      <c r="J33" s="5">
        <v>20</v>
      </c>
    </row>
    <row r="34" spans="1:14" x14ac:dyDescent="0.25">
      <c r="D34" s="5">
        <v>21</v>
      </c>
      <c r="E34" s="7" t="s">
        <v>234</v>
      </c>
      <c r="F34" s="13" t="s">
        <v>230</v>
      </c>
      <c r="G34" s="20">
        <v>38</v>
      </c>
      <c r="H34" s="5" t="s">
        <v>80</v>
      </c>
      <c r="I34" s="5" t="s">
        <v>80</v>
      </c>
      <c r="J34" s="5">
        <v>21</v>
      </c>
    </row>
    <row r="35" spans="1:14" x14ac:dyDescent="0.25">
      <c r="D35" s="5">
        <v>22</v>
      </c>
      <c r="E35" s="7" t="s">
        <v>235</v>
      </c>
      <c r="F35" s="13" t="s">
        <v>231</v>
      </c>
      <c r="G35" s="20">
        <v>39</v>
      </c>
      <c r="H35" s="5" t="s">
        <v>80</v>
      </c>
      <c r="I35" s="5" t="s">
        <v>80</v>
      </c>
      <c r="J35" s="5">
        <v>22</v>
      </c>
    </row>
    <row r="36" spans="1:14" x14ac:dyDescent="0.25">
      <c r="D36" s="5">
        <v>23</v>
      </c>
      <c r="E36" s="7" t="s">
        <v>236</v>
      </c>
      <c r="F36" s="13" t="s">
        <v>232</v>
      </c>
      <c r="G36" s="20">
        <v>36</v>
      </c>
      <c r="H36" s="5" t="s">
        <v>80</v>
      </c>
      <c r="I36" s="5" t="s">
        <v>80</v>
      </c>
      <c r="J36" s="5">
        <v>23</v>
      </c>
    </row>
    <row r="37" spans="1:14" x14ac:dyDescent="0.25">
      <c r="D37" s="5">
        <v>58</v>
      </c>
      <c r="E37" s="7" t="s">
        <v>336</v>
      </c>
      <c r="F37" s="21" t="s">
        <v>225</v>
      </c>
      <c r="G37" s="5">
        <v>44</v>
      </c>
      <c r="H37" s="5">
        <v>192020</v>
      </c>
      <c r="I37" s="5">
        <v>192020</v>
      </c>
      <c r="J37" s="5"/>
    </row>
    <row r="38" spans="1:14" x14ac:dyDescent="0.25">
      <c r="D38" s="5">
        <v>59</v>
      </c>
      <c r="E38" s="7" t="s">
        <v>337</v>
      </c>
      <c r="F38" s="17" t="s">
        <v>226</v>
      </c>
      <c r="G38" s="5">
        <v>45</v>
      </c>
      <c r="H38" s="5" t="s">
        <v>80</v>
      </c>
      <c r="I38" s="5" t="s">
        <v>80</v>
      </c>
      <c r="J38" s="5">
        <v>61</v>
      </c>
    </row>
    <row r="39" spans="1:14" x14ac:dyDescent="0.25">
      <c r="D39" s="5">
        <v>60</v>
      </c>
      <c r="E39" s="7" t="s">
        <v>338</v>
      </c>
      <c r="F39" s="17" t="s">
        <v>228</v>
      </c>
      <c r="G39" s="20">
        <v>46</v>
      </c>
      <c r="H39" s="5">
        <v>192020</v>
      </c>
      <c r="I39" s="5">
        <v>192020</v>
      </c>
      <c r="J39" s="5"/>
    </row>
    <row r="40" spans="1:14" x14ac:dyDescent="0.25">
      <c r="D40" s="5">
        <v>61</v>
      </c>
      <c r="E40" s="7" t="s">
        <v>339</v>
      </c>
      <c r="F40" s="13" t="s">
        <v>232</v>
      </c>
      <c r="G40" s="20">
        <v>36</v>
      </c>
      <c r="H40" s="5" t="s">
        <v>80</v>
      </c>
      <c r="I40" s="5" t="s">
        <v>80</v>
      </c>
      <c r="J40" s="5">
        <v>62</v>
      </c>
    </row>
    <row r="41" spans="1:14" x14ac:dyDescent="0.25">
      <c r="D41" s="5">
        <v>62</v>
      </c>
      <c r="E41" s="7" t="s">
        <v>340</v>
      </c>
      <c r="F41" s="13" t="s">
        <v>232</v>
      </c>
      <c r="G41" s="25">
        <v>36</v>
      </c>
      <c r="H41" s="5" t="s">
        <v>80</v>
      </c>
      <c r="I41" s="5" t="s">
        <v>80</v>
      </c>
      <c r="J41" s="5">
        <v>63</v>
      </c>
      <c r="N41" t="s">
        <v>76</v>
      </c>
    </row>
    <row r="43" spans="1:14" x14ac:dyDescent="0.25">
      <c r="A43" t="s">
        <v>12</v>
      </c>
      <c r="D43" s="4" t="s">
        <v>73</v>
      </c>
      <c r="E43" s="8" t="s">
        <v>74</v>
      </c>
      <c r="F43" s="8" t="s">
        <v>75</v>
      </c>
      <c r="G43" s="8" t="s">
        <v>200</v>
      </c>
      <c r="H43" s="8" t="s">
        <v>184</v>
      </c>
      <c r="I43" s="8" t="s">
        <v>183</v>
      </c>
      <c r="J43" s="8" t="s">
        <v>182</v>
      </c>
    </row>
    <row r="44" spans="1:14" ht="30" x14ac:dyDescent="0.25">
      <c r="D44" s="5">
        <v>24</v>
      </c>
      <c r="E44" s="7" t="s">
        <v>296</v>
      </c>
      <c r="F44" s="21" t="s">
        <v>246</v>
      </c>
      <c r="G44" s="5">
        <v>36</v>
      </c>
      <c r="H44" s="5" t="s">
        <v>80</v>
      </c>
      <c r="I44" s="5" t="s">
        <v>80</v>
      </c>
      <c r="J44" s="5">
        <v>24</v>
      </c>
    </row>
    <row r="45" spans="1:14" ht="30" x14ac:dyDescent="0.25">
      <c r="D45" s="5">
        <v>25</v>
      </c>
      <c r="E45" s="7" t="s">
        <v>247</v>
      </c>
      <c r="F45" s="17" t="s">
        <v>248</v>
      </c>
      <c r="G45" s="5">
        <v>39</v>
      </c>
      <c r="H45" s="5" t="s">
        <v>80</v>
      </c>
      <c r="I45" s="5" t="s">
        <v>80</v>
      </c>
      <c r="J45" s="5">
        <v>25</v>
      </c>
    </row>
    <row r="46" spans="1:14" ht="32.25" customHeight="1" x14ac:dyDescent="0.25">
      <c r="D46" s="5">
        <v>26</v>
      </c>
      <c r="E46" s="7" t="s">
        <v>249</v>
      </c>
      <c r="F46" s="17" t="s">
        <v>250</v>
      </c>
      <c r="G46" s="20">
        <v>47</v>
      </c>
      <c r="H46" s="5" t="s">
        <v>80</v>
      </c>
      <c r="I46" s="5" t="s">
        <v>80</v>
      </c>
      <c r="J46" s="5">
        <v>26</v>
      </c>
    </row>
    <row r="47" spans="1:14" ht="30" x14ac:dyDescent="0.25">
      <c r="D47" s="5">
        <v>27</v>
      </c>
      <c r="E47" s="7" t="s">
        <v>252</v>
      </c>
      <c r="F47" s="22" t="s">
        <v>253</v>
      </c>
      <c r="G47" s="5">
        <v>41</v>
      </c>
      <c r="H47" s="5" t="s">
        <v>80</v>
      </c>
      <c r="I47" s="5" t="s">
        <v>80</v>
      </c>
      <c r="J47" s="5">
        <v>27</v>
      </c>
    </row>
    <row r="48" spans="1:14" x14ac:dyDescent="0.25">
      <c r="D48" s="5">
        <v>28</v>
      </c>
      <c r="E48" s="7" t="s">
        <v>254</v>
      </c>
      <c r="F48" s="22" t="s">
        <v>255</v>
      </c>
      <c r="G48" s="5">
        <v>40</v>
      </c>
      <c r="H48" s="5" t="s">
        <v>80</v>
      </c>
      <c r="I48" s="5" t="s">
        <v>80</v>
      </c>
      <c r="J48" s="5">
        <v>28</v>
      </c>
    </row>
    <row r="50" spans="1:10" x14ac:dyDescent="0.25">
      <c r="A50" t="s">
        <v>13</v>
      </c>
    </row>
    <row r="51" spans="1:10" x14ac:dyDescent="0.25">
      <c r="D51" s="4" t="s">
        <v>73</v>
      </c>
      <c r="E51" s="8" t="s">
        <v>74</v>
      </c>
      <c r="F51" s="8" t="s">
        <v>75</v>
      </c>
      <c r="G51" s="8" t="s">
        <v>200</v>
      </c>
      <c r="H51" s="8" t="s">
        <v>184</v>
      </c>
      <c r="I51" s="8" t="s">
        <v>183</v>
      </c>
      <c r="J51" s="8" t="s">
        <v>182</v>
      </c>
    </row>
    <row r="52" spans="1:10" x14ac:dyDescent="0.25">
      <c r="D52" s="5">
        <v>29</v>
      </c>
      <c r="E52" s="7" t="s">
        <v>262</v>
      </c>
      <c r="F52" s="17" t="s">
        <v>273</v>
      </c>
      <c r="G52" s="23">
        <v>53</v>
      </c>
      <c r="H52" s="5" t="s">
        <v>80</v>
      </c>
      <c r="I52" s="5" t="s">
        <v>80</v>
      </c>
      <c r="J52" s="5">
        <v>29</v>
      </c>
    </row>
    <row r="53" spans="1:10" x14ac:dyDescent="0.25">
      <c r="D53" s="5">
        <v>30</v>
      </c>
      <c r="E53" s="7" t="s">
        <v>263</v>
      </c>
      <c r="F53" s="17" t="s">
        <v>274</v>
      </c>
      <c r="G53" s="23">
        <v>54</v>
      </c>
      <c r="H53" s="5" t="s">
        <v>80</v>
      </c>
      <c r="I53" s="5" t="s">
        <v>80</v>
      </c>
      <c r="J53" s="5">
        <v>30</v>
      </c>
    </row>
    <row r="54" spans="1:10" x14ac:dyDescent="0.25">
      <c r="D54" s="5">
        <v>31</v>
      </c>
      <c r="E54" s="7" t="s">
        <v>278</v>
      </c>
      <c r="F54" s="17" t="s">
        <v>275</v>
      </c>
      <c r="G54" s="24">
        <v>31</v>
      </c>
      <c r="H54" s="5" t="s">
        <v>80</v>
      </c>
      <c r="I54" s="5" t="s">
        <v>80</v>
      </c>
      <c r="J54" s="5">
        <v>31</v>
      </c>
    </row>
    <row r="55" spans="1:10" x14ac:dyDescent="0.25">
      <c r="D55" s="5">
        <v>32</v>
      </c>
      <c r="E55" s="7" t="s">
        <v>277</v>
      </c>
      <c r="F55" s="17" t="s">
        <v>250</v>
      </c>
      <c r="G55" s="23">
        <v>47</v>
      </c>
      <c r="H55" s="5" t="s">
        <v>80</v>
      </c>
      <c r="I55" s="5" t="s">
        <v>80</v>
      </c>
      <c r="J55" s="5">
        <v>32</v>
      </c>
    </row>
    <row r="56" spans="1:10" ht="30" x14ac:dyDescent="0.25">
      <c r="D56" s="5">
        <v>33</v>
      </c>
      <c r="E56" s="7" t="s">
        <v>279</v>
      </c>
      <c r="F56" s="17" t="s">
        <v>269</v>
      </c>
      <c r="G56" s="23">
        <v>48</v>
      </c>
      <c r="H56" s="5" t="s">
        <v>80</v>
      </c>
      <c r="I56" s="5" t="s">
        <v>80</v>
      </c>
      <c r="J56" s="5">
        <v>33</v>
      </c>
    </row>
    <row r="57" spans="1:10" ht="45" x14ac:dyDescent="0.25">
      <c r="D57" s="5">
        <v>34</v>
      </c>
      <c r="E57" s="7" t="s">
        <v>307</v>
      </c>
      <c r="F57" s="17" t="s">
        <v>270</v>
      </c>
      <c r="G57" s="23">
        <v>49</v>
      </c>
      <c r="H57" s="5" t="s">
        <v>80</v>
      </c>
      <c r="I57" s="5" t="s">
        <v>80</v>
      </c>
      <c r="J57" s="5">
        <v>34</v>
      </c>
    </row>
    <row r="58" spans="1:10" ht="30" x14ac:dyDescent="0.25">
      <c r="D58" s="5">
        <v>35</v>
      </c>
      <c r="E58" s="7" t="s">
        <v>280</v>
      </c>
      <c r="F58" s="17" t="s">
        <v>271</v>
      </c>
      <c r="G58" s="23">
        <v>50</v>
      </c>
      <c r="H58" s="5" t="s">
        <v>80</v>
      </c>
      <c r="I58" s="5" t="s">
        <v>80</v>
      </c>
      <c r="J58" s="5">
        <v>35</v>
      </c>
    </row>
    <row r="59" spans="1:10" ht="30" x14ac:dyDescent="0.25">
      <c r="D59" s="5">
        <v>36</v>
      </c>
      <c r="E59" s="7" t="s">
        <v>281</v>
      </c>
      <c r="F59" s="17" t="s">
        <v>282</v>
      </c>
      <c r="G59" s="23">
        <v>51</v>
      </c>
      <c r="H59" s="5" t="s">
        <v>80</v>
      </c>
      <c r="I59" s="5" t="s">
        <v>80</v>
      </c>
      <c r="J59" s="5">
        <v>36</v>
      </c>
    </row>
    <row r="60" spans="1:10" x14ac:dyDescent="0.25">
      <c r="D60" s="5">
        <v>37</v>
      </c>
      <c r="E60" s="7" t="s">
        <v>276</v>
      </c>
      <c r="F60" s="17" t="s">
        <v>272</v>
      </c>
      <c r="G60" s="23">
        <v>52</v>
      </c>
      <c r="H60" s="5" t="s">
        <v>80</v>
      </c>
      <c r="I60" s="5" t="s">
        <v>80</v>
      </c>
      <c r="J60" s="5">
        <v>37</v>
      </c>
    </row>
    <row r="61" spans="1:10" x14ac:dyDescent="0.25">
      <c r="D61" s="5">
        <v>38</v>
      </c>
      <c r="E61" s="7" t="s">
        <v>287</v>
      </c>
      <c r="F61" s="17" t="s">
        <v>288</v>
      </c>
      <c r="G61" s="5">
        <v>55</v>
      </c>
      <c r="H61" s="5" t="s">
        <v>80</v>
      </c>
      <c r="I61" s="5" t="s">
        <v>80</v>
      </c>
      <c r="J61" s="5">
        <v>38</v>
      </c>
    </row>
    <row r="62" spans="1:10" x14ac:dyDescent="0.25">
      <c r="D62" s="5">
        <v>39</v>
      </c>
      <c r="E62" s="7" t="s">
        <v>278</v>
      </c>
      <c r="F62" s="17" t="s">
        <v>275</v>
      </c>
      <c r="G62" s="24">
        <v>31</v>
      </c>
      <c r="H62" s="5" t="s">
        <v>80</v>
      </c>
      <c r="I62" s="5" t="s">
        <v>80</v>
      </c>
      <c r="J62" s="5">
        <v>39</v>
      </c>
    </row>
    <row r="63" spans="1:10" x14ac:dyDescent="0.25">
      <c r="D63" s="5">
        <v>49</v>
      </c>
      <c r="E63" s="7" t="s">
        <v>320</v>
      </c>
      <c r="F63" s="17" t="s">
        <v>319</v>
      </c>
      <c r="G63" s="5">
        <v>57</v>
      </c>
      <c r="H63" s="5"/>
      <c r="I63" s="5"/>
      <c r="J63" s="5">
        <v>49</v>
      </c>
    </row>
    <row r="64" spans="1:10" x14ac:dyDescent="0.25">
      <c r="D64" s="5">
        <v>50</v>
      </c>
      <c r="E64" s="7" t="s">
        <v>322</v>
      </c>
      <c r="F64" s="17" t="s">
        <v>273</v>
      </c>
      <c r="G64" s="5">
        <v>53</v>
      </c>
      <c r="H64" s="5" t="s">
        <v>80</v>
      </c>
      <c r="I64" s="5" t="s">
        <v>80</v>
      </c>
      <c r="J64" s="5">
        <v>50</v>
      </c>
    </row>
    <row r="65" spans="1:10" x14ac:dyDescent="0.25">
      <c r="D65" s="5">
        <v>51</v>
      </c>
      <c r="E65" s="7" t="s">
        <v>323</v>
      </c>
      <c r="F65" s="17" t="s">
        <v>274</v>
      </c>
      <c r="G65" s="5">
        <v>54</v>
      </c>
      <c r="H65" s="5" t="s">
        <v>80</v>
      </c>
      <c r="I65" s="5" t="s">
        <v>80</v>
      </c>
      <c r="J65" s="5">
        <v>51</v>
      </c>
    </row>
    <row r="66" spans="1:10" x14ac:dyDescent="0.25">
      <c r="D66" s="5">
        <v>52</v>
      </c>
      <c r="E66" s="7" t="s">
        <v>324</v>
      </c>
      <c r="F66" s="17" t="s">
        <v>250</v>
      </c>
      <c r="G66" s="5">
        <v>47</v>
      </c>
      <c r="H66" s="5" t="s">
        <v>80</v>
      </c>
      <c r="I66" s="5" t="s">
        <v>80</v>
      </c>
      <c r="J66" s="5">
        <v>52</v>
      </c>
    </row>
    <row r="67" spans="1:10" ht="30" x14ac:dyDescent="0.25">
      <c r="D67" s="5">
        <v>53</v>
      </c>
      <c r="E67" s="7" t="s">
        <v>325</v>
      </c>
      <c r="F67" s="17" t="s">
        <v>269</v>
      </c>
      <c r="G67" s="23">
        <v>48</v>
      </c>
      <c r="H67" s="5" t="s">
        <v>80</v>
      </c>
      <c r="I67" s="5" t="s">
        <v>80</v>
      </c>
      <c r="J67" s="5">
        <v>53</v>
      </c>
    </row>
    <row r="68" spans="1:10" ht="45" x14ac:dyDescent="0.25">
      <c r="D68" s="5">
        <v>54</v>
      </c>
      <c r="E68" s="7" t="s">
        <v>326</v>
      </c>
      <c r="F68" s="17" t="s">
        <v>270</v>
      </c>
      <c r="G68" s="23">
        <v>49</v>
      </c>
      <c r="H68" s="5" t="s">
        <v>80</v>
      </c>
      <c r="I68" s="5" t="s">
        <v>80</v>
      </c>
      <c r="J68" s="5">
        <v>54</v>
      </c>
    </row>
    <row r="69" spans="1:10" ht="30" x14ac:dyDescent="0.25">
      <c r="D69" s="5">
        <v>55</v>
      </c>
      <c r="E69" s="7" t="s">
        <v>327</v>
      </c>
      <c r="F69" s="17" t="s">
        <v>271</v>
      </c>
      <c r="G69" s="23">
        <v>50</v>
      </c>
      <c r="H69" s="5" t="s">
        <v>80</v>
      </c>
      <c r="I69" s="5" t="s">
        <v>80</v>
      </c>
      <c r="J69" s="5">
        <v>55</v>
      </c>
    </row>
    <row r="70" spans="1:10" ht="30" x14ac:dyDescent="0.25">
      <c r="D70" s="5">
        <v>56</v>
      </c>
      <c r="E70" s="7" t="s">
        <v>328</v>
      </c>
      <c r="F70" s="17" t="s">
        <v>282</v>
      </c>
      <c r="G70" s="23">
        <v>51</v>
      </c>
      <c r="H70" s="5" t="s">
        <v>80</v>
      </c>
      <c r="I70" s="5" t="s">
        <v>80</v>
      </c>
      <c r="J70" s="5">
        <v>56</v>
      </c>
    </row>
    <row r="71" spans="1:10" x14ac:dyDescent="0.25">
      <c r="A71" t="s">
        <v>300</v>
      </c>
    </row>
    <row r="72" spans="1:10" x14ac:dyDescent="0.25">
      <c r="D72" s="4" t="s">
        <v>73</v>
      </c>
      <c r="E72" s="8" t="s">
        <v>74</v>
      </c>
      <c r="F72" s="8" t="s">
        <v>75</v>
      </c>
      <c r="G72" s="8" t="s">
        <v>200</v>
      </c>
      <c r="H72" s="8" t="s">
        <v>184</v>
      </c>
      <c r="I72" s="8" t="s">
        <v>183</v>
      </c>
      <c r="J72" s="8" t="s">
        <v>182</v>
      </c>
    </row>
    <row r="73" spans="1:10" ht="30" x14ac:dyDescent="0.25">
      <c r="D73" s="5">
        <v>45</v>
      </c>
      <c r="E73" s="7" t="s">
        <v>303</v>
      </c>
      <c r="F73" s="17" t="s">
        <v>301</v>
      </c>
      <c r="G73" s="23">
        <v>56</v>
      </c>
      <c r="H73" s="5">
        <v>192402</v>
      </c>
      <c r="I73" s="5">
        <v>420005</v>
      </c>
      <c r="J73" s="5"/>
    </row>
    <row r="74" spans="1:10" ht="30" x14ac:dyDescent="0.25">
      <c r="D74" s="5">
        <v>46</v>
      </c>
      <c r="E74" s="7" t="s">
        <v>311</v>
      </c>
      <c r="F74" s="17" t="s">
        <v>312</v>
      </c>
      <c r="G74" s="23">
        <v>57</v>
      </c>
      <c r="H74" s="5" t="s">
        <v>315</v>
      </c>
      <c r="I74" s="5" t="s">
        <v>316</v>
      </c>
      <c r="J74" s="5"/>
    </row>
    <row r="75" spans="1:10" x14ac:dyDescent="0.25">
      <c r="D75" s="5">
        <v>47</v>
      </c>
      <c r="E75" s="7" t="s">
        <v>313</v>
      </c>
      <c r="F75" s="5" t="s">
        <v>314</v>
      </c>
      <c r="G75" s="5">
        <v>58</v>
      </c>
      <c r="H75" s="5">
        <v>192402</v>
      </c>
      <c r="I75" s="5">
        <v>420005</v>
      </c>
      <c r="J75" s="5"/>
    </row>
    <row r="76" spans="1:10" x14ac:dyDescent="0.25">
      <c r="D76" s="5"/>
      <c r="E76" s="5"/>
      <c r="F76" s="5"/>
      <c r="G76" s="5"/>
      <c r="H76" s="5"/>
      <c r="I76" s="5"/>
      <c r="J76" s="5"/>
    </row>
    <row r="77" spans="1:10" x14ac:dyDescent="0.25">
      <c r="D77" s="5"/>
      <c r="E77" s="5"/>
      <c r="F77" s="5"/>
      <c r="G77" s="5"/>
      <c r="H77" s="5"/>
      <c r="I77" s="5"/>
      <c r="J7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4890-0783-4CE6-8F4B-D8E3CCC5B50C}">
  <dimension ref="B1:Q135"/>
  <sheetViews>
    <sheetView workbookViewId="0">
      <selection activeCell="I26" sqref="I26"/>
    </sheetView>
  </sheetViews>
  <sheetFormatPr defaultRowHeight="15" x14ac:dyDescent="0.25"/>
  <cols>
    <col min="2" max="2" width="6.28515625" customWidth="1"/>
    <col min="3" max="3" width="42.140625" bestFit="1" customWidth="1"/>
    <col min="4" max="4" width="2.5703125" customWidth="1"/>
    <col min="5" max="5" width="12.5703125" customWidth="1"/>
    <col min="6" max="6" width="17.7109375" bestFit="1" customWidth="1"/>
    <col min="7" max="7" width="6.140625" bestFit="1" customWidth="1"/>
    <col min="8" max="8" width="15.42578125" bestFit="1" customWidth="1"/>
    <col min="9" max="9" width="9.5703125" customWidth="1"/>
    <col min="10" max="10" width="13.5703125" bestFit="1" customWidth="1"/>
    <col min="11" max="11" width="13.85546875" bestFit="1" customWidth="1"/>
    <col min="14" max="14" width="13.5703125" bestFit="1" customWidth="1"/>
    <col min="15" max="15" width="22.7109375" customWidth="1"/>
    <col min="16" max="16" width="39.5703125" customWidth="1"/>
  </cols>
  <sheetData>
    <row r="1" spans="2:13" ht="21" x14ac:dyDescent="0.35">
      <c r="B1" s="10" t="s">
        <v>187</v>
      </c>
    </row>
    <row r="2" spans="2:13" x14ac:dyDescent="0.25">
      <c r="B2" s="4" t="s">
        <v>73</v>
      </c>
      <c r="C2" s="8" t="s">
        <v>74</v>
      </c>
    </row>
    <row r="3" spans="2:13" ht="21" x14ac:dyDescent="0.35">
      <c r="B3" s="5">
        <v>10</v>
      </c>
      <c r="C3" s="7" t="s">
        <v>185</v>
      </c>
      <c r="E3" s="10" t="s">
        <v>189</v>
      </c>
    </row>
    <row r="4" spans="2:13" x14ac:dyDescent="0.25">
      <c r="B4" s="5">
        <v>11</v>
      </c>
      <c r="C4" s="7" t="s">
        <v>196</v>
      </c>
      <c r="E4" s="4" t="s">
        <v>73</v>
      </c>
      <c r="F4" s="8" t="s">
        <v>191</v>
      </c>
      <c r="G4" s="8" t="s">
        <v>190</v>
      </c>
      <c r="H4" s="8" t="s">
        <v>192</v>
      </c>
      <c r="I4" s="4" t="s">
        <v>193</v>
      </c>
      <c r="J4" s="8" t="s">
        <v>184</v>
      </c>
      <c r="K4" s="8" t="s">
        <v>183</v>
      </c>
      <c r="L4" s="8" t="s">
        <v>194</v>
      </c>
      <c r="M4" s="1"/>
    </row>
    <row r="5" spans="2:13" x14ac:dyDescent="0.25">
      <c r="B5" s="5">
        <v>12</v>
      </c>
      <c r="C5" s="7" t="s">
        <v>197</v>
      </c>
      <c r="E5" s="5">
        <v>20</v>
      </c>
      <c r="F5" s="5">
        <v>10</v>
      </c>
      <c r="G5" s="5">
        <v>1</v>
      </c>
      <c r="H5" s="5">
        <v>7</v>
      </c>
      <c r="I5" s="5" t="s">
        <v>18</v>
      </c>
      <c r="J5" s="5"/>
      <c r="K5" s="5" t="s">
        <v>435</v>
      </c>
      <c r="L5" s="5" t="s">
        <v>195</v>
      </c>
      <c r="M5" s="2"/>
    </row>
    <row r="6" spans="2:13" x14ac:dyDescent="0.25">
      <c r="B6" s="5">
        <v>13</v>
      </c>
      <c r="C6" s="7" t="s">
        <v>198</v>
      </c>
      <c r="E6" s="5">
        <f>E5+1</f>
        <v>21</v>
      </c>
      <c r="F6" s="5">
        <v>10</v>
      </c>
      <c r="G6" s="5">
        <v>1</v>
      </c>
      <c r="H6" s="5">
        <v>7</v>
      </c>
      <c r="I6" s="5" t="s">
        <v>17</v>
      </c>
      <c r="J6" s="5" t="s">
        <v>437</v>
      </c>
      <c r="K6" s="5" t="s">
        <v>436</v>
      </c>
      <c r="L6" s="5"/>
      <c r="M6" s="2"/>
    </row>
    <row r="7" spans="2:13" x14ac:dyDescent="0.25">
      <c r="B7" s="5">
        <v>14</v>
      </c>
      <c r="C7" s="7" t="s">
        <v>215</v>
      </c>
      <c r="E7" s="5">
        <f t="shared" ref="E7:E70" si="0">E6+1</f>
        <v>22</v>
      </c>
      <c r="F7" s="5">
        <v>11</v>
      </c>
      <c r="G7" s="5">
        <v>1</v>
      </c>
      <c r="H7" s="5">
        <v>7</v>
      </c>
      <c r="I7" s="5" t="s">
        <v>18</v>
      </c>
      <c r="J7" s="5" t="s">
        <v>438</v>
      </c>
      <c r="K7" s="5"/>
      <c r="L7" s="5" t="s">
        <v>195</v>
      </c>
      <c r="M7" s="2"/>
    </row>
    <row r="8" spans="2:13" x14ac:dyDescent="0.25">
      <c r="B8" s="5">
        <v>15</v>
      </c>
      <c r="C8" s="13" t="s">
        <v>209</v>
      </c>
      <c r="E8" s="5">
        <f t="shared" si="0"/>
        <v>23</v>
      </c>
      <c r="F8" s="18">
        <v>11</v>
      </c>
      <c r="G8" s="18">
        <v>1</v>
      </c>
      <c r="H8" s="18">
        <v>7</v>
      </c>
      <c r="I8" s="18" t="s">
        <v>17</v>
      </c>
      <c r="J8" s="5" t="s">
        <v>438</v>
      </c>
      <c r="K8" s="18"/>
      <c r="L8" s="18"/>
      <c r="M8" s="2"/>
    </row>
    <row r="9" spans="2:13" x14ac:dyDescent="0.25">
      <c r="B9" s="5">
        <v>16</v>
      </c>
      <c r="C9" s="7" t="s">
        <v>213</v>
      </c>
      <c r="E9" s="5">
        <f t="shared" si="0"/>
        <v>24</v>
      </c>
      <c r="F9" s="18">
        <v>12</v>
      </c>
      <c r="G9" s="18">
        <v>1</v>
      </c>
      <c r="H9" s="18">
        <v>7</v>
      </c>
      <c r="I9" s="18" t="s">
        <v>18</v>
      </c>
      <c r="J9" s="5" t="s">
        <v>439</v>
      </c>
      <c r="K9" s="18"/>
      <c r="L9" s="18"/>
      <c r="M9" s="2"/>
    </row>
    <row r="10" spans="2:13" x14ac:dyDescent="0.25">
      <c r="B10" s="5">
        <v>17</v>
      </c>
      <c r="C10" s="13" t="s">
        <v>207</v>
      </c>
      <c r="E10" s="5">
        <f t="shared" si="0"/>
        <v>25</v>
      </c>
      <c r="F10" s="5">
        <v>13</v>
      </c>
      <c r="G10" s="5">
        <v>1</v>
      </c>
      <c r="H10" s="5">
        <v>7</v>
      </c>
      <c r="I10" s="5" t="s">
        <v>18</v>
      </c>
      <c r="J10" s="7"/>
      <c r="K10" s="5" t="s">
        <v>440</v>
      </c>
      <c r="L10" s="18" t="s">
        <v>195</v>
      </c>
      <c r="M10" s="2"/>
    </row>
    <row r="11" spans="2:13" x14ac:dyDescent="0.25">
      <c r="B11" s="5">
        <v>18</v>
      </c>
      <c r="C11" s="7" t="s">
        <v>216</v>
      </c>
      <c r="E11" s="5">
        <f t="shared" si="0"/>
        <v>26</v>
      </c>
      <c r="F11" s="5">
        <v>13</v>
      </c>
      <c r="G11" s="5">
        <v>1</v>
      </c>
      <c r="H11" s="5">
        <v>7</v>
      </c>
      <c r="I11" s="5" t="s">
        <v>17</v>
      </c>
      <c r="J11" s="5"/>
      <c r="K11" s="18" t="s">
        <v>440</v>
      </c>
      <c r="L11" s="18"/>
      <c r="M11" s="2"/>
    </row>
    <row r="12" spans="2:13" x14ac:dyDescent="0.25">
      <c r="B12" s="5">
        <v>19</v>
      </c>
      <c r="C12" s="7" t="s">
        <v>224</v>
      </c>
      <c r="E12" s="5">
        <f t="shared" si="0"/>
        <v>27</v>
      </c>
      <c r="F12" s="5">
        <v>14</v>
      </c>
      <c r="G12" s="5">
        <v>1</v>
      </c>
      <c r="H12" s="5">
        <v>7</v>
      </c>
      <c r="I12" s="5" t="s">
        <v>18</v>
      </c>
      <c r="J12" s="5" t="s">
        <v>441</v>
      </c>
      <c r="K12" s="18"/>
      <c r="L12" s="18" t="s">
        <v>195</v>
      </c>
      <c r="M12" s="2"/>
    </row>
    <row r="13" spans="2:13" x14ac:dyDescent="0.25">
      <c r="B13" s="5">
        <v>20</v>
      </c>
      <c r="C13" s="7" t="s">
        <v>233</v>
      </c>
      <c r="E13" s="5">
        <f t="shared" si="0"/>
        <v>28</v>
      </c>
      <c r="F13" s="5">
        <v>14</v>
      </c>
      <c r="G13" s="5">
        <v>2</v>
      </c>
      <c r="H13" s="5">
        <v>7</v>
      </c>
      <c r="I13" s="5" t="s">
        <v>17</v>
      </c>
      <c r="J13" s="5" t="s">
        <v>442</v>
      </c>
      <c r="K13" s="5"/>
      <c r="L13" s="18"/>
      <c r="M13" s="2"/>
    </row>
    <row r="14" spans="2:13" x14ac:dyDescent="0.25">
      <c r="B14" s="5">
        <v>21</v>
      </c>
      <c r="C14" s="7" t="s">
        <v>234</v>
      </c>
      <c r="E14" s="5">
        <f t="shared" si="0"/>
        <v>29</v>
      </c>
      <c r="F14" s="5">
        <v>15</v>
      </c>
      <c r="G14" s="5">
        <v>1</v>
      </c>
      <c r="H14" s="5">
        <v>7</v>
      </c>
      <c r="I14" s="5" t="s">
        <v>18</v>
      </c>
      <c r="J14" s="5"/>
      <c r="K14" s="5" t="s">
        <v>441</v>
      </c>
      <c r="L14" s="18"/>
      <c r="M14" s="2"/>
    </row>
    <row r="15" spans="2:13" x14ac:dyDescent="0.25">
      <c r="B15" s="5">
        <v>22</v>
      </c>
      <c r="C15" s="7" t="s">
        <v>235</v>
      </c>
      <c r="E15" s="5">
        <f t="shared" si="0"/>
        <v>30</v>
      </c>
      <c r="F15" s="5">
        <v>16</v>
      </c>
      <c r="G15" s="5">
        <v>1</v>
      </c>
      <c r="H15" s="5">
        <v>7</v>
      </c>
      <c r="I15" s="5" t="s">
        <v>18</v>
      </c>
      <c r="J15" s="5"/>
      <c r="K15" s="5" t="s">
        <v>443</v>
      </c>
      <c r="L15" s="5"/>
      <c r="M15" s="2"/>
    </row>
    <row r="16" spans="2:13" x14ac:dyDescent="0.25">
      <c r="B16" s="5">
        <v>23</v>
      </c>
      <c r="C16" s="7" t="s">
        <v>236</v>
      </c>
      <c r="E16" s="5">
        <f t="shared" si="0"/>
        <v>31</v>
      </c>
      <c r="F16" s="5">
        <v>16</v>
      </c>
      <c r="G16" s="5">
        <v>2</v>
      </c>
      <c r="H16" s="5">
        <v>7</v>
      </c>
      <c r="I16" s="5" t="s">
        <v>17</v>
      </c>
      <c r="J16" s="5"/>
      <c r="K16" s="5" t="s">
        <v>444</v>
      </c>
      <c r="L16" s="5"/>
      <c r="M16" s="2"/>
    </row>
    <row r="17" spans="2:13" x14ac:dyDescent="0.25">
      <c r="B17" s="5">
        <v>24</v>
      </c>
      <c r="C17" s="7" t="s">
        <v>296</v>
      </c>
      <c r="E17" s="5">
        <f t="shared" si="0"/>
        <v>32</v>
      </c>
      <c r="F17" s="5">
        <v>17</v>
      </c>
      <c r="G17" s="5">
        <v>1</v>
      </c>
      <c r="H17" s="5">
        <v>7</v>
      </c>
      <c r="I17" s="5" t="s">
        <v>18</v>
      </c>
      <c r="J17" s="5"/>
      <c r="K17" s="5" t="s">
        <v>445</v>
      </c>
      <c r="L17" s="5"/>
      <c r="M17" s="2"/>
    </row>
    <row r="18" spans="2:13" x14ac:dyDescent="0.25">
      <c r="B18" s="5">
        <v>25</v>
      </c>
      <c r="C18" s="7" t="s">
        <v>247</v>
      </c>
      <c r="E18" s="5">
        <f t="shared" si="0"/>
        <v>33</v>
      </c>
      <c r="F18" s="5">
        <v>18</v>
      </c>
      <c r="G18" s="5">
        <v>1</v>
      </c>
      <c r="H18" s="5">
        <v>7</v>
      </c>
      <c r="I18" s="5" t="s">
        <v>18</v>
      </c>
      <c r="J18" s="5"/>
      <c r="K18" s="5" t="s">
        <v>445</v>
      </c>
      <c r="L18" s="5" t="s">
        <v>195</v>
      </c>
      <c r="M18" s="2"/>
    </row>
    <row r="19" spans="2:13" x14ac:dyDescent="0.25">
      <c r="B19" s="5">
        <v>26</v>
      </c>
      <c r="C19" s="7" t="s">
        <v>249</v>
      </c>
      <c r="E19" s="5">
        <f t="shared" si="0"/>
        <v>34</v>
      </c>
      <c r="F19" s="5">
        <v>18</v>
      </c>
      <c r="G19" s="5">
        <v>2</v>
      </c>
      <c r="H19" s="5">
        <v>7</v>
      </c>
      <c r="I19" s="5" t="s">
        <v>17</v>
      </c>
      <c r="J19" s="5"/>
      <c r="K19" s="5" t="s">
        <v>446</v>
      </c>
      <c r="L19" s="5"/>
      <c r="M19" s="2"/>
    </row>
    <row r="20" spans="2:13" x14ac:dyDescent="0.25">
      <c r="B20" s="5">
        <v>27</v>
      </c>
      <c r="C20" s="7" t="s">
        <v>256</v>
      </c>
      <c r="E20" s="5">
        <f t="shared" si="0"/>
        <v>35</v>
      </c>
      <c r="F20" s="5">
        <v>19</v>
      </c>
      <c r="G20" s="5">
        <v>1</v>
      </c>
      <c r="H20" s="5">
        <v>7</v>
      </c>
      <c r="I20" s="5" t="s">
        <v>18</v>
      </c>
      <c r="J20" s="5" t="s">
        <v>448</v>
      </c>
      <c r="K20" s="5" t="s">
        <v>447</v>
      </c>
      <c r="L20" s="5"/>
      <c r="M20" s="2"/>
    </row>
    <row r="21" spans="2:13" x14ac:dyDescent="0.25">
      <c r="B21" s="5">
        <v>28</v>
      </c>
      <c r="C21" s="7" t="s">
        <v>254</v>
      </c>
      <c r="E21" s="5">
        <f t="shared" si="0"/>
        <v>36</v>
      </c>
      <c r="F21" s="5">
        <v>20</v>
      </c>
      <c r="G21" s="5">
        <v>1</v>
      </c>
      <c r="H21" s="5">
        <v>7</v>
      </c>
      <c r="I21" s="5" t="s">
        <v>18</v>
      </c>
      <c r="J21" s="5"/>
      <c r="K21" s="5" t="s">
        <v>449</v>
      </c>
      <c r="L21" s="5"/>
      <c r="M21" s="2"/>
    </row>
    <row r="22" spans="2:13" x14ac:dyDescent="0.25">
      <c r="B22" s="5">
        <v>29</v>
      </c>
      <c r="C22" s="7" t="s">
        <v>262</v>
      </c>
      <c r="E22" s="5">
        <f t="shared" si="0"/>
        <v>37</v>
      </c>
      <c r="F22" s="5">
        <v>21</v>
      </c>
      <c r="G22" s="5">
        <v>1</v>
      </c>
      <c r="H22" s="5">
        <v>7</v>
      </c>
      <c r="I22" s="5" t="s">
        <v>18</v>
      </c>
      <c r="J22" s="5"/>
      <c r="K22" s="5" t="s">
        <v>449</v>
      </c>
      <c r="L22" s="5"/>
      <c r="M22" s="2"/>
    </row>
    <row r="23" spans="2:13" x14ac:dyDescent="0.25">
      <c r="B23" s="5">
        <v>30</v>
      </c>
      <c r="C23" s="7" t="s">
        <v>263</v>
      </c>
      <c r="E23" s="5">
        <f t="shared" si="0"/>
        <v>38</v>
      </c>
      <c r="F23" s="5">
        <v>22</v>
      </c>
      <c r="G23" s="5">
        <v>1</v>
      </c>
      <c r="H23" s="5">
        <v>7</v>
      </c>
      <c r="I23" s="5" t="s">
        <v>18</v>
      </c>
      <c r="J23" s="5"/>
      <c r="K23" s="5"/>
      <c r="L23" s="5" t="s">
        <v>289</v>
      </c>
      <c r="M23" s="2"/>
    </row>
    <row r="24" spans="2:13" x14ac:dyDescent="0.25">
      <c r="B24" s="5">
        <v>31</v>
      </c>
      <c r="C24" s="7" t="s">
        <v>278</v>
      </c>
      <c r="E24" s="5">
        <f t="shared" si="0"/>
        <v>39</v>
      </c>
      <c r="F24" s="5">
        <v>22</v>
      </c>
      <c r="G24" s="5">
        <v>2</v>
      </c>
      <c r="H24" s="5">
        <v>18</v>
      </c>
      <c r="I24" s="5">
        <v>907</v>
      </c>
      <c r="J24" s="5"/>
      <c r="K24" s="5" t="s">
        <v>445</v>
      </c>
      <c r="L24" s="5" t="s">
        <v>195</v>
      </c>
      <c r="M24" s="2"/>
    </row>
    <row r="25" spans="2:13" x14ac:dyDescent="0.25">
      <c r="B25" s="5">
        <v>32</v>
      </c>
      <c r="C25" s="7" t="s">
        <v>277</v>
      </c>
      <c r="E25" s="5">
        <f t="shared" si="0"/>
        <v>40</v>
      </c>
      <c r="F25" s="5">
        <v>22</v>
      </c>
      <c r="G25" s="5">
        <v>3</v>
      </c>
      <c r="H25" s="5">
        <v>18</v>
      </c>
      <c r="I25" s="5">
        <v>906</v>
      </c>
      <c r="J25" s="5"/>
      <c r="K25" s="5" t="s">
        <v>441</v>
      </c>
      <c r="L25" s="5"/>
      <c r="M25" s="2"/>
    </row>
    <row r="26" spans="2:13" x14ac:dyDescent="0.25">
      <c r="B26" s="5">
        <v>33</v>
      </c>
      <c r="C26" s="7" t="s">
        <v>279</v>
      </c>
      <c r="E26" s="5">
        <f t="shared" si="0"/>
        <v>41</v>
      </c>
      <c r="F26" s="5">
        <v>23</v>
      </c>
      <c r="G26" s="5">
        <v>1</v>
      </c>
      <c r="H26" s="5">
        <v>7</v>
      </c>
      <c r="I26" s="5" t="s">
        <v>18</v>
      </c>
      <c r="J26" s="5" t="s">
        <v>448</v>
      </c>
      <c r="K26" s="5"/>
      <c r="L26" s="5"/>
      <c r="M26" s="2"/>
    </row>
    <row r="27" spans="2:13" x14ac:dyDescent="0.25">
      <c r="B27" s="5">
        <v>34</v>
      </c>
      <c r="C27" s="7" t="s">
        <v>307</v>
      </c>
      <c r="E27" s="5">
        <f t="shared" si="0"/>
        <v>42</v>
      </c>
      <c r="F27" s="5">
        <v>24</v>
      </c>
      <c r="G27" s="5">
        <v>1</v>
      </c>
      <c r="H27" s="5">
        <v>7</v>
      </c>
      <c r="I27" s="5" t="s">
        <v>18</v>
      </c>
      <c r="J27" s="5" t="s">
        <v>441</v>
      </c>
      <c r="K27" s="5"/>
      <c r="L27" s="5" t="s">
        <v>195</v>
      </c>
      <c r="M27" s="2"/>
    </row>
    <row r="28" spans="2:13" x14ac:dyDescent="0.25">
      <c r="B28" s="5">
        <v>35</v>
      </c>
      <c r="C28" s="7" t="s">
        <v>280</v>
      </c>
      <c r="E28" s="5">
        <f t="shared" si="0"/>
        <v>43</v>
      </c>
      <c r="F28" s="5">
        <v>24</v>
      </c>
      <c r="G28" s="5">
        <v>2</v>
      </c>
      <c r="H28" s="5">
        <v>7</v>
      </c>
      <c r="I28" s="5" t="s">
        <v>17</v>
      </c>
      <c r="J28" s="5" t="s">
        <v>453</v>
      </c>
      <c r="K28" s="5"/>
      <c r="L28" s="5"/>
      <c r="M28" s="2"/>
    </row>
    <row r="29" spans="2:13" x14ac:dyDescent="0.25">
      <c r="B29" s="5">
        <v>36</v>
      </c>
      <c r="C29" s="7" t="s">
        <v>281</v>
      </c>
      <c r="E29" s="5">
        <f t="shared" si="0"/>
        <v>44</v>
      </c>
      <c r="F29" s="5">
        <v>25</v>
      </c>
      <c r="G29" s="5">
        <v>1</v>
      </c>
      <c r="H29" s="5">
        <v>7</v>
      </c>
      <c r="I29" s="5" t="s">
        <v>18</v>
      </c>
      <c r="J29" s="5"/>
      <c r="K29" s="5" t="s">
        <v>445</v>
      </c>
      <c r="L29" s="5"/>
      <c r="M29" s="2"/>
    </row>
    <row r="30" spans="2:13" x14ac:dyDescent="0.25">
      <c r="B30" s="5">
        <v>37</v>
      </c>
      <c r="C30" s="7" t="s">
        <v>276</v>
      </c>
      <c r="E30" s="5">
        <f t="shared" si="0"/>
        <v>45</v>
      </c>
      <c r="F30" s="5">
        <v>26</v>
      </c>
      <c r="G30" s="5">
        <v>1</v>
      </c>
      <c r="H30" s="5">
        <v>7</v>
      </c>
      <c r="I30" s="5" t="s">
        <v>18</v>
      </c>
      <c r="J30" s="5"/>
      <c r="K30" s="5" t="s">
        <v>441</v>
      </c>
      <c r="L30" s="5" t="s">
        <v>195</v>
      </c>
      <c r="M30" s="2"/>
    </row>
    <row r="31" spans="2:13" x14ac:dyDescent="0.25">
      <c r="B31" s="5">
        <v>38</v>
      </c>
      <c r="C31" s="7" t="s">
        <v>287</v>
      </c>
      <c r="E31" s="5">
        <f t="shared" si="0"/>
        <v>46</v>
      </c>
      <c r="F31" s="5">
        <v>26</v>
      </c>
      <c r="G31" s="5">
        <v>2</v>
      </c>
      <c r="H31" s="5">
        <v>7</v>
      </c>
      <c r="I31" s="5" t="s">
        <v>17</v>
      </c>
      <c r="J31" s="5"/>
      <c r="K31" s="5" t="s">
        <v>439</v>
      </c>
      <c r="L31" s="5"/>
    </row>
    <row r="32" spans="2:13" x14ac:dyDescent="0.25">
      <c r="B32" s="5">
        <v>39</v>
      </c>
      <c r="C32" s="7" t="s">
        <v>278</v>
      </c>
      <c r="E32" s="5">
        <f t="shared" si="0"/>
        <v>47</v>
      </c>
      <c r="F32" s="5">
        <v>27</v>
      </c>
      <c r="G32" s="5">
        <v>1</v>
      </c>
      <c r="H32" s="5">
        <v>7</v>
      </c>
      <c r="I32" s="5" t="s">
        <v>18</v>
      </c>
      <c r="J32" s="5"/>
      <c r="K32" s="5" t="s">
        <v>445</v>
      </c>
      <c r="L32" s="5"/>
    </row>
    <row r="33" spans="2:12" x14ac:dyDescent="0.25">
      <c r="B33" s="5">
        <v>40</v>
      </c>
      <c r="C33" s="7" t="s">
        <v>277</v>
      </c>
      <c r="E33" s="5">
        <f t="shared" si="0"/>
        <v>48</v>
      </c>
      <c r="F33" s="5">
        <v>28</v>
      </c>
      <c r="G33" s="5">
        <v>1</v>
      </c>
      <c r="H33" s="5">
        <v>7</v>
      </c>
      <c r="I33" s="5" t="s">
        <v>18</v>
      </c>
      <c r="J33" s="5"/>
      <c r="K33" s="5" t="s">
        <v>443</v>
      </c>
      <c r="L33" s="5" t="s">
        <v>195</v>
      </c>
    </row>
    <row r="34" spans="2:12" x14ac:dyDescent="0.25">
      <c r="B34" s="5">
        <v>45</v>
      </c>
      <c r="C34" s="7" t="s">
        <v>303</v>
      </c>
      <c r="E34" s="5">
        <f t="shared" si="0"/>
        <v>49</v>
      </c>
      <c r="F34" s="5">
        <v>28</v>
      </c>
      <c r="G34" s="5">
        <v>2</v>
      </c>
      <c r="H34" s="5">
        <v>7</v>
      </c>
      <c r="I34" s="5" t="s">
        <v>17</v>
      </c>
      <c r="J34" s="5"/>
      <c r="K34" s="5" t="s">
        <v>443</v>
      </c>
      <c r="L34" s="5"/>
    </row>
    <row r="35" spans="2:12" x14ac:dyDescent="0.25">
      <c r="B35" s="5">
        <v>46</v>
      </c>
      <c r="C35" s="7" t="s">
        <v>186</v>
      </c>
      <c r="E35" s="5">
        <f t="shared" si="0"/>
        <v>50</v>
      </c>
      <c r="F35" s="5">
        <v>29</v>
      </c>
      <c r="G35" s="5">
        <v>1</v>
      </c>
      <c r="H35" s="5">
        <v>7</v>
      </c>
      <c r="I35" s="5" t="s">
        <v>18</v>
      </c>
      <c r="J35" s="5"/>
      <c r="K35" s="5"/>
      <c r="L35" s="5" t="s">
        <v>289</v>
      </c>
    </row>
    <row r="36" spans="2:12" x14ac:dyDescent="0.25">
      <c r="B36" s="5">
        <v>47</v>
      </c>
      <c r="C36" s="7" t="s">
        <v>202</v>
      </c>
      <c r="E36" s="5">
        <f t="shared" si="0"/>
        <v>51</v>
      </c>
      <c r="F36" s="5">
        <v>29</v>
      </c>
      <c r="G36" s="5">
        <v>2</v>
      </c>
      <c r="H36" s="5">
        <v>17</v>
      </c>
      <c r="I36" s="5">
        <v>911</v>
      </c>
      <c r="J36" s="5"/>
      <c r="K36" s="5" t="s">
        <v>452</v>
      </c>
      <c r="L36" s="5" t="s">
        <v>195</v>
      </c>
    </row>
    <row r="37" spans="2:12" x14ac:dyDescent="0.25">
      <c r="B37" s="5">
        <v>48</v>
      </c>
      <c r="C37" s="7" t="s">
        <v>201</v>
      </c>
      <c r="E37" s="5">
        <f t="shared" si="0"/>
        <v>52</v>
      </c>
      <c r="F37" s="5">
        <v>29</v>
      </c>
      <c r="G37" s="5">
        <v>3</v>
      </c>
      <c r="H37" s="5">
        <v>17</v>
      </c>
      <c r="I37" s="5" t="s">
        <v>321</v>
      </c>
      <c r="J37" s="5"/>
      <c r="K37" s="5" t="s">
        <v>456</v>
      </c>
      <c r="L37" s="5"/>
    </row>
    <row r="38" spans="2:12" x14ac:dyDescent="0.25">
      <c r="B38" s="5">
        <v>49</v>
      </c>
      <c r="C38" s="7" t="s">
        <v>320</v>
      </c>
      <c r="E38" s="5">
        <f t="shared" si="0"/>
        <v>53</v>
      </c>
      <c r="F38" s="5">
        <v>29</v>
      </c>
      <c r="G38" s="5">
        <v>1</v>
      </c>
      <c r="H38" s="5">
        <v>7</v>
      </c>
      <c r="I38" s="5" t="s">
        <v>17</v>
      </c>
      <c r="J38" s="5"/>
      <c r="K38" s="5"/>
      <c r="L38" s="5" t="s">
        <v>214</v>
      </c>
    </row>
    <row r="39" spans="2:12" x14ac:dyDescent="0.25">
      <c r="B39" s="5">
        <v>50</v>
      </c>
      <c r="C39" s="7" t="s">
        <v>322</v>
      </c>
      <c r="E39" s="5">
        <f t="shared" si="0"/>
        <v>54</v>
      </c>
      <c r="F39" s="5">
        <v>29</v>
      </c>
      <c r="G39" s="5">
        <v>2</v>
      </c>
      <c r="H39" s="5">
        <v>17</v>
      </c>
      <c r="I39" s="5" t="s">
        <v>321</v>
      </c>
      <c r="J39" s="5"/>
      <c r="K39" s="5" t="s">
        <v>449</v>
      </c>
      <c r="L39" s="5"/>
    </row>
    <row r="40" spans="2:12" x14ac:dyDescent="0.25">
      <c r="B40" s="5">
        <v>51</v>
      </c>
      <c r="C40" s="7" t="s">
        <v>323</v>
      </c>
      <c r="E40" s="5">
        <f t="shared" si="0"/>
        <v>55</v>
      </c>
      <c r="F40" s="5">
        <v>30</v>
      </c>
      <c r="G40" s="5">
        <v>1</v>
      </c>
      <c r="H40" s="5">
        <v>7</v>
      </c>
      <c r="I40" s="5" t="s">
        <v>18</v>
      </c>
      <c r="J40" s="5"/>
      <c r="K40" s="5"/>
      <c r="L40" s="5" t="s">
        <v>214</v>
      </c>
    </row>
    <row r="41" spans="2:12" x14ac:dyDescent="0.25">
      <c r="B41" s="5">
        <v>52</v>
      </c>
      <c r="C41" s="7" t="s">
        <v>324</v>
      </c>
      <c r="E41" s="5">
        <f t="shared" si="0"/>
        <v>56</v>
      </c>
      <c r="F41" s="5">
        <v>30</v>
      </c>
      <c r="G41" s="5">
        <v>2</v>
      </c>
      <c r="H41" s="5">
        <v>17</v>
      </c>
      <c r="I41" s="5">
        <v>911</v>
      </c>
      <c r="J41" s="5" t="s">
        <v>451</v>
      </c>
      <c r="K41" s="5"/>
      <c r="L41" s="5" t="s">
        <v>195</v>
      </c>
    </row>
    <row r="42" spans="2:12" x14ac:dyDescent="0.25">
      <c r="B42" s="5">
        <v>53</v>
      </c>
      <c r="C42" s="7" t="s">
        <v>325</v>
      </c>
      <c r="E42" s="5">
        <f t="shared" si="0"/>
        <v>57</v>
      </c>
      <c r="F42" s="5">
        <v>30</v>
      </c>
      <c r="G42" s="5">
        <v>3</v>
      </c>
      <c r="H42" s="5">
        <v>17</v>
      </c>
      <c r="I42" s="5" t="s">
        <v>321</v>
      </c>
      <c r="J42" s="5" t="s">
        <v>456</v>
      </c>
      <c r="K42" s="5"/>
      <c r="L42" s="5" t="s">
        <v>195</v>
      </c>
    </row>
    <row r="43" spans="2:12" x14ac:dyDescent="0.25">
      <c r="B43" s="5">
        <v>54</v>
      </c>
      <c r="C43" s="7" t="s">
        <v>326</v>
      </c>
      <c r="E43" s="5">
        <f t="shared" si="0"/>
        <v>58</v>
      </c>
      <c r="F43" s="5">
        <v>30</v>
      </c>
      <c r="G43" s="5">
        <v>4</v>
      </c>
      <c r="H43" s="5">
        <v>17</v>
      </c>
      <c r="I43" s="5">
        <v>111</v>
      </c>
      <c r="J43" s="5" t="s">
        <v>454</v>
      </c>
      <c r="K43" s="5"/>
      <c r="L43" s="5" t="s">
        <v>195</v>
      </c>
    </row>
    <row r="44" spans="2:12" x14ac:dyDescent="0.25">
      <c r="B44" s="5">
        <v>55</v>
      </c>
      <c r="C44" s="7" t="s">
        <v>327</v>
      </c>
      <c r="E44" s="5">
        <f t="shared" si="0"/>
        <v>59</v>
      </c>
      <c r="F44" s="5">
        <v>30</v>
      </c>
      <c r="G44" s="5">
        <v>5</v>
      </c>
      <c r="H44" s="5">
        <v>17</v>
      </c>
      <c r="I44" s="5" t="s">
        <v>242</v>
      </c>
      <c r="J44" s="5" t="s">
        <v>454</v>
      </c>
      <c r="K44" s="5"/>
      <c r="L44" s="5"/>
    </row>
    <row r="45" spans="2:12" x14ac:dyDescent="0.25">
      <c r="B45" s="5">
        <v>56</v>
      </c>
      <c r="C45" s="7" t="s">
        <v>328</v>
      </c>
      <c r="E45" s="5">
        <f t="shared" si="0"/>
        <v>60</v>
      </c>
      <c r="F45" s="5">
        <v>30</v>
      </c>
      <c r="G45" s="5">
        <v>1</v>
      </c>
      <c r="H45" s="5">
        <v>7</v>
      </c>
      <c r="I45" s="5" t="s">
        <v>17</v>
      </c>
      <c r="J45" s="5"/>
      <c r="K45" s="5"/>
      <c r="L45" s="5" t="s">
        <v>214</v>
      </c>
    </row>
    <row r="46" spans="2:12" x14ac:dyDescent="0.25">
      <c r="B46" s="5">
        <v>57</v>
      </c>
      <c r="C46" s="7" t="s">
        <v>210</v>
      </c>
      <c r="E46" s="5">
        <f t="shared" si="0"/>
        <v>61</v>
      </c>
      <c r="F46" s="5">
        <v>30</v>
      </c>
      <c r="G46" s="5">
        <v>2</v>
      </c>
      <c r="H46" s="5">
        <v>17</v>
      </c>
      <c r="I46" s="5" t="s">
        <v>321</v>
      </c>
      <c r="J46" s="5" t="s">
        <v>449</v>
      </c>
      <c r="K46" s="5"/>
      <c r="L46" s="5"/>
    </row>
    <row r="47" spans="2:12" x14ac:dyDescent="0.25">
      <c r="B47" s="5">
        <v>58</v>
      </c>
      <c r="C47" s="7" t="s">
        <v>333</v>
      </c>
      <c r="E47" s="5">
        <f t="shared" si="0"/>
        <v>62</v>
      </c>
      <c r="F47" s="5">
        <v>31</v>
      </c>
      <c r="G47" s="5">
        <v>1</v>
      </c>
      <c r="H47" s="5">
        <v>7</v>
      </c>
      <c r="I47" s="5" t="s">
        <v>18</v>
      </c>
      <c r="J47" s="5"/>
      <c r="K47" s="5"/>
      <c r="L47" s="5" t="s">
        <v>214</v>
      </c>
    </row>
    <row r="48" spans="2:12" x14ac:dyDescent="0.25">
      <c r="B48" s="5">
        <v>59</v>
      </c>
      <c r="C48" s="7" t="s">
        <v>334</v>
      </c>
      <c r="E48" s="5">
        <f t="shared" si="0"/>
        <v>63</v>
      </c>
      <c r="F48" s="5">
        <v>31</v>
      </c>
      <c r="G48" s="5">
        <v>2</v>
      </c>
      <c r="H48" s="5">
        <v>17</v>
      </c>
      <c r="I48" s="5" t="s">
        <v>321</v>
      </c>
      <c r="J48" s="5" t="s">
        <v>450</v>
      </c>
      <c r="K48" s="5" t="s">
        <v>439</v>
      </c>
      <c r="L48" s="5" t="s">
        <v>195</v>
      </c>
    </row>
    <row r="49" spans="2:13" x14ac:dyDescent="0.25">
      <c r="B49" s="5">
        <v>60</v>
      </c>
      <c r="C49" s="7" t="s">
        <v>208</v>
      </c>
      <c r="E49" s="5">
        <f t="shared" si="0"/>
        <v>64</v>
      </c>
      <c r="F49" s="5">
        <v>31</v>
      </c>
      <c r="G49" s="5">
        <v>3</v>
      </c>
      <c r="H49" s="5">
        <v>17</v>
      </c>
      <c r="I49" s="5">
        <v>111</v>
      </c>
      <c r="J49" s="5" t="s">
        <v>452</v>
      </c>
      <c r="K49" s="5" t="s">
        <v>439</v>
      </c>
      <c r="L49" s="5" t="s">
        <v>195</v>
      </c>
    </row>
    <row r="50" spans="2:13" x14ac:dyDescent="0.25">
      <c r="B50" s="5">
        <v>61</v>
      </c>
      <c r="C50" s="7" t="s">
        <v>337</v>
      </c>
      <c r="E50" s="5">
        <f t="shared" si="0"/>
        <v>65</v>
      </c>
      <c r="F50" s="5">
        <v>31</v>
      </c>
      <c r="G50" s="5">
        <v>4</v>
      </c>
      <c r="H50" s="5">
        <v>17</v>
      </c>
      <c r="I50" s="5">
        <v>911</v>
      </c>
      <c r="J50" s="5" t="s">
        <v>451</v>
      </c>
      <c r="K50" s="5" t="s">
        <v>439</v>
      </c>
      <c r="L50" s="5"/>
    </row>
    <row r="51" spans="2:13" x14ac:dyDescent="0.25">
      <c r="B51" s="5">
        <v>62</v>
      </c>
      <c r="C51" s="7" t="s">
        <v>339</v>
      </c>
      <c r="E51" s="5">
        <f t="shared" si="0"/>
        <v>66</v>
      </c>
      <c r="F51" s="5">
        <v>32</v>
      </c>
      <c r="G51" s="5">
        <v>1</v>
      </c>
      <c r="H51" s="5">
        <v>7</v>
      </c>
      <c r="I51" s="5" t="s">
        <v>18</v>
      </c>
      <c r="J51" s="5"/>
      <c r="K51" s="5"/>
      <c r="L51" s="5" t="s">
        <v>214</v>
      </c>
    </row>
    <row r="52" spans="2:13" x14ac:dyDescent="0.25">
      <c r="B52" s="5">
        <v>63</v>
      </c>
      <c r="C52" s="7" t="s">
        <v>340</v>
      </c>
      <c r="E52" s="5">
        <f t="shared" si="0"/>
        <v>67</v>
      </c>
      <c r="F52" s="5">
        <v>32</v>
      </c>
      <c r="G52" s="5">
        <v>2</v>
      </c>
      <c r="H52" s="5">
        <v>17</v>
      </c>
      <c r="I52" s="5" t="s">
        <v>321</v>
      </c>
      <c r="J52" s="5" t="s">
        <v>449</v>
      </c>
      <c r="K52" s="5"/>
      <c r="L52" s="5" t="s">
        <v>195</v>
      </c>
    </row>
    <row r="53" spans="2:13" x14ac:dyDescent="0.25">
      <c r="B53" s="5"/>
      <c r="C53" s="7"/>
      <c r="E53" s="5">
        <f t="shared" si="0"/>
        <v>68</v>
      </c>
      <c r="F53" s="5">
        <v>32</v>
      </c>
      <c r="G53" s="5">
        <v>3</v>
      </c>
      <c r="H53" s="5">
        <v>17</v>
      </c>
      <c r="I53" s="5">
        <v>911</v>
      </c>
      <c r="J53" s="5" t="s">
        <v>454</v>
      </c>
      <c r="K53" s="5"/>
      <c r="L53" s="5"/>
    </row>
    <row r="54" spans="2:13" x14ac:dyDescent="0.25">
      <c r="B54" s="5"/>
      <c r="C54" s="7"/>
      <c r="E54" s="5">
        <f t="shared" si="0"/>
        <v>69</v>
      </c>
      <c r="F54" s="5">
        <v>32</v>
      </c>
      <c r="G54" s="5">
        <v>1</v>
      </c>
      <c r="H54" s="5">
        <v>7</v>
      </c>
      <c r="I54" s="5" t="s">
        <v>17</v>
      </c>
      <c r="J54" s="5"/>
      <c r="K54" s="5"/>
      <c r="L54" s="5" t="s">
        <v>214</v>
      </c>
      <c r="M54" s="2"/>
    </row>
    <row r="55" spans="2:13" x14ac:dyDescent="0.25">
      <c r="B55" s="5"/>
      <c r="C55" s="7"/>
      <c r="E55" s="5">
        <f t="shared" si="0"/>
        <v>70</v>
      </c>
      <c r="F55" s="5">
        <v>32</v>
      </c>
      <c r="G55" s="5">
        <v>2</v>
      </c>
      <c r="H55" s="5">
        <v>17</v>
      </c>
      <c r="I55" s="5" t="s">
        <v>321</v>
      </c>
      <c r="J55" s="5" t="s">
        <v>448</v>
      </c>
      <c r="K55" s="5"/>
      <c r="L55" s="5"/>
      <c r="M55" s="2"/>
    </row>
    <row r="56" spans="2:13" x14ac:dyDescent="0.25">
      <c r="B56" s="5"/>
      <c r="C56" s="7"/>
      <c r="E56" s="5">
        <f t="shared" si="0"/>
        <v>71</v>
      </c>
      <c r="F56" s="5">
        <v>33</v>
      </c>
      <c r="G56" s="5">
        <v>1</v>
      </c>
      <c r="H56" s="5">
        <v>7</v>
      </c>
      <c r="I56" s="5" t="s">
        <v>18</v>
      </c>
      <c r="J56" s="5"/>
      <c r="K56" s="5"/>
      <c r="L56" s="5" t="s">
        <v>214</v>
      </c>
    </row>
    <row r="57" spans="2:13" x14ac:dyDescent="0.25">
      <c r="C57" t="s">
        <v>76</v>
      </c>
      <c r="E57" s="5">
        <f t="shared" si="0"/>
        <v>72</v>
      </c>
      <c r="F57" s="5">
        <v>33</v>
      </c>
      <c r="G57" s="5">
        <v>2</v>
      </c>
      <c r="H57" s="5">
        <v>17</v>
      </c>
      <c r="I57" s="5" t="s">
        <v>321</v>
      </c>
      <c r="J57" s="5"/>
      <c r="K57" s="5" t="s">
        <v>450</v>
      </c>
      <c r="L57" s="5" t="s">
        <v>195</v>
      </c>
    </row>
    <row r="58" spans="2:13" x14ac:dyDescent="0.25">
      <c r="E58" s="5">
        <f t="shared" si="0"/>
        <v>73</v>
      </c>
      <c r="F58" s="5">
        <v>33</v>
      </c>
      <c r="G58" s="5">
        <v>3</v>
      </c>
      <c r="H58" s="5">
        <v>17</v>
      </c>
      <c r="I58" s="5">
        <v>111</v>
      </c>
      <c r="J58" s="5"/>
      <c r="K58" s="5" t="s">
        <v>452</v>
      </c>
      <c r="L58" s="5" t="s">
        <v>195</v>
      </c>
    </row>
    <row r="59" spans="2:13" x14ac:dyDescent="0.25">
      <c r="E59" s="5">
        <f t="shared" si="0"/>
        <v>74</v>
      </c>
      <c r="F59" s="5">
        <v>33</v>
      </c>
      <c r="G59" s="5">
        <v>4</v>
      </c>
      <c r="H59" s="5">
        <v>17</v>
      </c>
      <c r="I59" s="5">
        <v>911</v>
      </c>
      <c r="J59" s="5"/>
      <c r="K59" s="5" t="s">
        <v>452</v>
      </c>
      <c r="L59" s="5" t="s">
        <v>195</v>
      </c>
    </row>
    <row r="60" spans="2:13" x14ac:dyDescent="0.25">
      <c r="E60" s="5">
        <f t="shared" si="0"/>
        <v>75</v>
      </c>
      <c r="F60" s="5">
        <v>33</v>
      </c>
      <c r="G60" s="5">
        <v>5</v>
      </c>
      <c r="H60" s="5">
        <v>17</v>
      </c>
      <c r="I60" s="5" t="s">
        <v>242</v>
      </c>
      <c r="J60" s="5"/>
      <c r="K60" s="5" t="s">
        <v>452</v>
      </c>
      <c r="L60" s="5"/>
    </row>
    <row r="61" spans="2:13" x14ac:dyDescent="0.25">
      <c r="E61" s="5">
        <f t="shared" si="0"/>
        <v>76</v>
      </c>
      <c r="F61" s="5">
        <v>33</v>
      </c>
      <c r="G61" s="5">
        <v>1</v>
      </c>
      <c r="H61" s="5">
        <v>7</v>
      </c>
      <c r="I61" s="5" t="s">
        <v>17</v>
      </c>
      <c r="J61" s="5"/>
      <c r="K61" s="5"/>
      <c r="L61" s="5" t="s">
        <v>214</v>
      </c>
    </row>
    <row r="62" spans="2:13" x14ac:dyDescent="0.25">
      <c r="E62" s="5">
        <f t="shared" si="0"/>
        <v>77</v>
      </c>
      <c r="F62" s="5">
        <v>33</v>
      </c>
      <c r="G62" s="5">
        <v>2</v>
      </c>
      <c r="H62" s="5">
        <v>17</v>
      </c>
      <c r="I62" s="5" t="s">
        <v>321</v>
      </c>
      <c r="J62" s="5"/>
      <c r="K62" s="5" t="s">
        <v>450</v>
      </c>
      <c r="L62" s="5" t="s">
        <v>195</v>
      </c>
    </row>
    <row r="63" spans="2:13" x14ac:dyDescent="0.25">
      <c r="E63" s="5">
        <f t="shared" si="0"/>
        <v>78</v>
      </c>
      <c r="F63" s="5">
        <v>33</v>
      </c>
      <c r="G63" s="5">
        <v>3</v>
      </c>
      <c r="H63" s="5">
        <v>17</v>
      </c>
      <c r="I63" s="5">
        <v>911</v>
      </c>
      <c r="J63" s="5" t="s">
        <v>454</v>
      </c>
      <c r="K63" s="5" t="s">
        <v>452</v>
      </c>
      <c r="L63" s="5"/>
    </row>
    <row r="64" spans="2:13" x14ac:dyDescent="0.25">
      <c r="E64" s="5">
        <f t="shared" si="0"/>
        <v>79</v>
      </c>
      <c r="F64" s="5">
        <v>34</v>
      </c>
      <c r="G64" s="5">
        <v>1</v>
      </c>
      <c r="H64" s="5">
        <v>7</v>
      </c>
      <c r="I64" s="5" t="s">
        <v>18</v>
      </c>
      <c r="J64" s="5"/>
      <c r="K64" s="5"/>
      <c r="L64" s="5" t="s">
        <v>214</v>
      </c>
    </row>
    <row r="65" spans="5:12" x14ac:dyDescent="0.25">
      <c r="E65" s="5">
        <f t="shared" si="0"/>
        <v>80</v>
      </c>
      <c r="F65" s="5">
        <v>34</v>
      </c>
      <c r="G65" s="5">
        <v>2</v>
      </c>
      <c r="H65" s="5">
        <v>17</v>
      </c>
      <c r="I65" s="5" t="s">
        <v>321</v>
      </c>
      <c r="J65" s="5"/>
      <c r="K65" s="5" t="s">
        <v>450</v>
      </c>
      <c r="L65" s="5" t="s">
        <v>195</v>
      </c>
    </row>
    <row r="66" spans="5:12" x14ac:dyDescent="0.25">
      <c r="E66" s="5">
        <f t="shared" si="0"/>
        <v>81</v>
      </c>
      <c r="F66" s="5">
        <v>34</v>
      </c>
      <c r="G66" s="5">
        <v>3</v>
      </c>
      <c r="H66" s="5">
        <v>17</v>
      </c>
      <c r="I66" s="5">
        <v>111</v>
      </c>
      <c r="J66" s="5"/>
      <c r="K66" s="5" t="s">
        <v>452</v>
      </c>
      <c r="L66" s="5" t="s">
        <v>195</v>
      </c>
    </row>
    <row r="67" spans="5:12" x14ac:dyDescent="0.25">
      <c r="E67" s="5">
        <f t="shared" si="0"/>
        <v>82</v>
      </c>
      <c r="F67" s="5">
        <v>34</v>
      </c>
      <c r="G67" s="5">
        <v>4</v>
      </c>
      <c r="H67" s="5">
        <v>17</v>
      </c>
      <c r="I67" s="5">
        <v>911</v>
      </c>
      <c r="J67" s="5"/>
      <c r="K67" s="5" t="s">
        <v>452</v>
      </c>
      <c r="L67" s="5"/>
    </row>
    <row r="68" spans="5:12" x14ac:dyDescent="0.25">
      <c r="E68" s="5">
        <f t="shared" si="0"/>
        <v>83</v>
      </c>
      <c r="F68" s="5">
        <v>34</v>
      </c>
      <c r="G68" s="5">
        <v>5</v>
      </c>
      <c r="H68" s="5">
        <v>17</v>
      </c>
      <c r="I68" s="5" t="s">
        <v>242</v>
      </c>
      <c r="J68" s="5"/>
      <c r="K68" s="5" t="s">
        <v>452</v>
      </c>
      <c r="L68" s="5" t="s">
        <v>214</v>
      </c>
    </row>
    <row r="69" spans="5:12" x14ac:dyDescent="0.25">
      <c r="E69" s="5">
        <f t="shared" si="0"/>
        <v>84</v>
      </c>
      <c r="F69" s="5">
        <v>34</v>
      </c>
      <c r="G69" s="5">
        <v>1</v>
      </c>
      <c r="H69" s="5">
        <v>7</v>
      </c>
      <c r="I69" s="5" t="s">
        <v>17</v>
      </c>
      <c r="J69" s="5"/>
      <c r="K69" s="5"/>
      <c r="L69" s="5" t="s">
        <v>214</v>
      </c>
    </row>
    <row r="70" spans="5:12" x14ac:dyDescent="0.25">
      <c r="E70" s="5">
        <f t="shared" si="0"/>
        <v>85</v>
      </c>
      <c r="F70" s="5">
        <v>34</v>
      </c>
      <c r="G70" s="5">
        <v>2</v>
      </c>
      <c r="H70" s="5">
        <v>17</v>
      </c>
      <c r="I70" s="5" t="s">
        <v>321</v>
      </c>
      <c r="J70" s="5"/>
      <c r="K70" s="5" t="s">
        <v>450</v>
      </c>
      <c r="L70" s="5" t="s">
        <v>195</v>
      </c>
    </row>
    <row r="71" spans="5:12" x14ac:dyDescent="0.25">
      <c r="E71" s="5">
        <f t="shared" ref="E71:E134" si="1">E70+1</f>
        <v>86</v>
      </c>
      <c r="F71" s="5">
        <v>24</v>
      </c>
      <c r="G71" s="5">
        <v>3</v>
      </c>
      <c r="H71" s="5">
        <v>17</v>
      </c>
      <c r="I71" s="5">
        <v>911</v>
      </c>
      <c r="J71" s="5"/>
      <c r="K71" s="5" t="s">
        <v>452</v>
      </c>
      <c r="L71" s="5"/>
    </row>
    <row r="72" spans="5:12" x14ac:dyDescent="0.25">
      <c r="E72" s="5">
        <f t="shared" si="1"/>
        <v>87</v>
      </c>
      <c r="F72" s="5">
        <v>35</v>
      </c>
      <c r="G72" s="5">
        <v>1</v>
      </c>
      <c r="H72" s="5">
        <v>7</v>
      </c>
      <c r="I72" s="5" t="s">
        <v>18</v>
      </c>
      <c r="J72" s="5"/>
      <c r="K72" s="5"/>
      <c r="L72" s="5" t="s">
        <v>214</v>
      </c>
    </row>
    <row r="73" spans="5:12" x14ac:dyDescent="0.25">
      <c r="E73" s="5">
        <f t="shared" si="1"/>
        <v>88</v>
      </c>
      <c r="F73" s="5">
        <v>35</v>
      </c>
      <c r="G73" s="5">
        <v>2</v>
      </c>
      <c r="H73" s="5">
        <v>17</v>
      </c>
      <c r="I73" s="5" t="s">
        <v>321</v>
      </c>
      <c r="J73" s="5" t="s">
        <v>455</v>
      </c>
      <c r="K73" s="5"/>
      <c r="L73" s="5" t="s">
        <v>195</v>
      </c>
    </row>
    <row r="74" spans="5:12" x14ac:dyDescent="0.25">
      <c r="E74" s="5">
        <f t="shared" si="1"/>
        <v>89</v>
      </c>
      <c r="F74" s="5">
        <v>35</v>
      </c>
      <c r="G74" s="5">
        <v>3</v>
      </c>
      <c r="H74" s="5">
        <v>17</v>
      </c>
      <c r="I74" s="5">
        <v>111</v>
      </c>
      <c r="J74" s="5" t="s">
        <v>451</v>
      </c>
      <c r="K74" s="5"/>
      <c r="L74" s="5" t="s">
        <v>195</v>
      </c>
    </row>
    <row r="75" spans="5:12" x14ac:dyDescent="0.25">
      <c r="E75" s="5">
        <f t="shared" si="1"/>
        <v>90</v>
      </c>
      <c r="F75" s="5">
        <v>35</v>
      </c>
      <c r="G75" s="5">
        <v>4</v>
      </c>
      <c r="H75" s="5">
        <v>17</v>
      </c>
      <c r="I75" s="5">
        <v>911</v>
      </c>
      <c r="J75" s="5" t="s">
        <v>451</v>
      </c>
      <c r="K75" s="5"/>
      <c r="L75" s="5" t="s">
        <v>195</v>
      </c>
    </row>
    <row r="76" spans="5:12" x14ac:dyDescent="0.25">
      <c r="E76" s="5">
        <f t="shared" si="1"/>
        <v>91</v>
      </c>
      <c r="F76" s="5">
        <v>35</v>
      </c>
      <c r="G76" s="5">
        <v>5</v>
      </c>
      <c r="H76" s="5">
        <v>17</v>
      </c>
      <c r="I76" s="5" t="s">
        <v>242</v>
      </c>
      <c r="J76" s="5" t="s">
        <v>451</v>
      </c>
      <c r="K76" s="5"/>
      <c r="L76" s="5"/>
    </row>
    <row r="77" spans="5:12" x14ac:dyDescent="0.25">
      <c r="E77" s="5">
        <f t="shared" si="1"/>
        <v>92</v>
      </c>
      <c r="F77" s="5">
        <v>35</v>
      </c>
      <c r="G77" s="5">
        <v>1</v>
      </c>
      <c r="H77" s="5">
        <v>7</v>
      </c>
      <c r="I77" s="5" t="s">
        <v>17</v>
      </c>
      <c r="J77" s="5"/>
      <c r="K77" s="5"/>
      <c r="L77" s="5" t="s">
        <v>214</v>
      </c>
    </row>
    <row r="78" spans="5:12" x14ac:dyDescent="0.25">
      <c r="E78" s="5">
        <f t="shared" si="1"/>
        <v>93</v>
      </c>
      <c r="F78" s="5">
        <v>35</v>
      </c>
      <c r="G78" s="5">
        <v>2</v>
      </c>
      <c r="H78" s="5">
        <v>17</v>
      </c>
      <c r="I78" s="5" t="s">
        <v>321</v>
      </c>
      <c r="J78" s="5" t="s">
        <v>455</v>
      </c>
      <c r="K78" s="5"/>
      <c r="L78" s="5"/>
    </row>
    <row r="79" spans="5:12" x14ac:dyDescent="0.25">
      <c r="E79" s="5">
        <f t="shared" si="1"/>
        <v>94</v>
      </c>
      <c r="F79" s="5">
        <v>35</v>
      </c>
      <c r="G79" s="5">
        <v>3</v>
      </c>
      <c r="H79" s="5">
        <v>17</v>
      </c>
      <c r="I79" s="5">
        <v>911</v>
      </c>
      <c r="J79" s="5" t="s">
        <v>451</v>
      </c>
      <c r="K79" s="5"/>
      <c r="L79" s="5" t="s">
        <v>214</v>
      </c>
    </row>
    <row r="80" spans="5:12" x14ac:dyDescent="0.25">
      <c r="E80" s="5">
        <f t="shared" si="1"/>
        <v>95</v>
      </c>
      <c r="F80" s="5">
        <v>36</v>
      </c>
      <c r="G80" s="5">
        <v>1</v>
      </c>
      <c r="H80" s="5">
        <v>7</v>
      </c>
      <c r="I80" s="5" t="s">
        <v>18</v>
      </c>
      <c r="J80" s="5"/>
      <c r="K80" s="5"/>
      <c r="L80" s="5" t="s">
        <v>214</v>
      </c>
    </row>
    <row r="81" spans="5:15" x14ac:dyDescent="0.25">
      <c r="E81" s="5">
        <f t="shared" si="1"/>
        <v>96</v>
      </c>
      <c r="F81" s="5">
        <v>36</v>
      </c>
      <c r="G81" s="5">
        <v>2</v>
      </c>
      <c r="H81" s="5">
        <v>17</v>
      </c>
      <c r="I81" s="5" t="s">
        <v>321</v>
      </c>
      <c r="J81" s="5" t="s">
        <v>455</v>
      </c>
      <c r="K81" s="5"/>
      <c r="L81" s="5" t="s">
        <v>195</v>
      </c>
    </row>
    <row r="82" spans="5:15" x14ac:dyDescent="0.25">
      <c r="E82" s="5">
        <f t="shared" si="1"/>
        <v>97</v>
      </c>
      <c r="F82" s="5">
        <v>36</v>
      </c>
      <c r="G82" s="5">
        <v>3</v>
      </c>
      <c r="H82" s="5">
        <v>17</v>
      </c>
      <c r="I82" s="5">
        <v>111</v>
      </c>
      <c r="J82" s="5" t="s">
        <v>451</v>
      </c>
      <c r="K82" s="5"/>
      <c r="L82" s="5" t="s">
        <v>195</v>
      </c>
    </row>
    <row r="83" spans="5:15" x14ac:dyDescent="0.25">
      <c r="E83" s="5">
        <f t="shared" si="1"/>
        <v>98</v>
      </c>
      <c r="F83" s="5">
        <v>26</v>
      </c>
      <c r="G83" s="5">
        <v>4</v>
      </c>
      <c r="H83" s="5">
        <v>17</v>
      </c>
      <c r="I83" s="5">
        <v>911</v>
      </c>
      <c r="J83" s="5" t="s">
        <v>451</v>
      </c>
      <c r="K83" s="5"/>
      <c r="L83" s="5" t="s">
        <v>195</v>
      </c>
    </row>
    <row r="84" spans="5:15" x14ac:dyDescent="0.25">
      <c r="E84" s="5">
        <f t="shared" si="1"/>
        <v>99</v>
      </c>
      <c r="F84" s="5">
        <v>36</v>
      </c>
      <c r="G84" s="5">
        <v>5</v>
      </c>
      <c r="H84" s="5">
        <v>17</v>
      </c>
      <c r="I84" s="5" t="s">
        <v>242</v>
      </c>
      <c r="J84" s="5" t="s">
        <v>451</v>
      </c>
      <c r="K84" s="5"/>
      <c r="L84" s="5"/>
    </row>
    <row r="85" spans="5:15" x14ac:dyDescent="0.25">
      <c r="E85" s="5">
        <f t="shared" si="1"/>
        <v>100</v>
      </c>
      <c r="F85" s="5">
        <v>36</v>
      </c>
      <c r="G85" s="5">
        <v>1</v>
      </c>
      <c r="H85" s="5">
        <v>7</v>
      </c>
      <c r="I85" s="5" t="s">
        <v>17</v>
      </c>
      <c r="J85" s="5"/>
      <c r="K85" s="5"/>
      <c r="L85" s="5" t="s">
        <v>214</v>
      </c>
    </row>
    <row r="86" spans="5:15" x14ac:dyDescent="0.25">
      <c r="E86" s="5">
        <f t="shared" si="1"/>
        <v>101</v>
      </c>
      <c r="F86" s="5">
        <v>36</v>
      </c>
      <c r="G86" s="5">
        <v>2</v>
      </c>
      <c r="H86" s="5">
        <v>17</v>
      </c>
      <c r="I86" s="5" t="s">
        <v>321</v>
      </c>
      <c r="J86" s="5" t="s">
        <v>455</v>
      </c>
      <c r="K86" s="5"/>
      <c r="L86" s="5" t="s">
        <v>195</v>
      </c>
    </row>
    <row r="87" spans="5:15" x14ac:dyDescent="0.25">
      <c r="E87" s="5">
        <f t="shared" si="1"/>
        <v>102</v>
      </c>
      <c r="F87" s="5">
        <v>36</v>
      </c>
      <c r="G87" s="5">
        <v>3</v>
      </c>
      <c r="H87" s="5">
        <v>17</v>
      </c>
      <c r="I87" s="5">
        <v>911</v>
      </c>
      <c r="J87" s="5" t="s">
        <v>451</v>
      </c>
      <c r="K87" s="5"/>
      <c r="L87" s="5"/>
    </row>
    <row r="88" spans="5:15" x14ac:dyDescent="0.25">
      <c r="E88" s="5">
        <f t="shared" si="1"/>
        <v>103</v>
      </c>
      <c r="F88" s="5">
        <v>37</v>
      </c>
      <c r="G88" s="5">
        <v>1</v>
      </c>
      <c r="H88" s="5">
        <v>7</v>
      </c>
      <c r="I88" s="5" t="s">
        <v>18</v>
      </c>
      <c r="J88" s="5"/>
      <c r="K88" s="5"/>
      <c r="L88" s="5" t="s">
        <v>214</v>
      </c>
    </row>
    <row r="89" spans="5:15" x14ac:dyDescent="0.25">
      <c r="E89" s="5">
        <f t="shared" si="1"/>
        <v>104</v>
      </c>
      <c r="F89" s="5">
        <v>37</v>
      </c>
      <c r="G89" s="5">
        <v>2</v>
      </c>
      <c r="H89" s="5">
        <v>17</v>
      </c>
      <c r="I89" s="5" t="s">
        <v>321</v>
      </c>
      <c r="J89" s="5" t="s">
        <v>456</v>
      </c>
      <c r="K89" s="5" t="s">
        <v>439</v>
      </c>
      <c r="L89" s="5" t="s">
        <v>195</v>
      </c>
      <c r="O89" t="s">
        <v>76</v>
      </c>
    </row>
    <row r="90" spans="5:15" x14ac:dyDescent="0.25">
      <c r="E90" s="5">
        <f t="shared" si="1"/>
        <v>105</v>
      </c>
      <c r="F90" s="5">
        <v>37</v>
      </c>
      <c r="G90" s="5">
        <v>3</v>
      </c>
      <c r="H90" s="5">
        <v>17</v>
      </c>
      <c r="I90" s="5">
        <v>911</v>
      </c>
      <c r="J90" s="5" t="s">
        <v>451</v>
      </c>
      <c r="K90" s="5" t="s">
        <v>439</v>
      </c>
      <c r="L90" s="5" t="s">
        <v>195</v>
      </c>
    </row>
    <row r="91" spans="5:15" x14ac:dyDescent="0.25">
      <c r="E91" s="5">
        <f t="shared" si="1"/>
        <v>106</v>
      </c>
      <c r="F91" s="5">
        <v>37</v>
      </c>
      <c r="G91" s="5">
        <v>4</v>
      </c>
      <c r="H91" s="5">
        <v>17</v>
      </c>
      <c r="I91" s="5" t="s">
        <v>242</v>
      </c>
      <c r="J91" s="5" t="s">
        <v>454</v>
      </c>
      <c r="K91" s="5" t="s">
        <v>439</v>
      </c>
      <c r="L91" s="5"/>
    </row>
    <row r="92" spans="5:15" x14ac:dyDescent="0.25">
      <c r="E92" s="5">
        <f t="shared" si="1"/>
        <v>107</v>
      </c>
      <c r="F92" s="5">
        <v>38</v>
      </c>
      <c r="G92" s="5">
        <v>1</v>
      </c>
      <c r="H92" s="5">
        <v>7</v>
      </c>
      <c r="I92" s="5" t="s">
        <v>18</v>
      </c>
      <c r="J92" s="5"/>
      <c r="K92" s="5"/>
      <c r="L92" s="5" t="s">
        <v>214</v>
      </c>
    </row>
    <row r="93" spans="5:15" x14ac:dyDescent="0.25">
      <c r="E93" s="5">
        <f t="shared" si="1"/>
        <v>108</v>
      </c>
      <c r="F93" s="5">
        <v>38</v>
      </c>
      <c r="G93" s="5">
        <v>2</v>
      </c>
      <c r="H93" s="5">
        <v>17</v>
      </c>
      <c r="I93" s="5">
        <v>111</v>
      </c>
      <c r="J93" s="5" t="s">
        <v>448</v>
      </c>
      <c r="K93" s="5"/>
      <c r="L93" s="5" t="s">
        <v>195</v>
      </c>
    </row>
    <row r="94" spans="5:15" x14ac:dyDescent="0.25">
      <c r="E94" s="5">
        <f t="shared" si="1"/>
        <v>109</v>
      </c>
      <c r="F94" s="5">
        <v>38</v>
      </c>
      <c r="G94" s="5">
        <v>3</v>
      </c>
      <c r="H94" s="5">
        <v>17</v>
      </c>
      <c r="I94" s="5" t="s">
        <v>242</v>
      </c>
      <c r="J94" s="5" t="s">
        <v>448</v>
      </c>
      <c r="K94" s="5"/>
      <c r="L94" s="5"/>
    </row>
    <row r="95" spans="5:15" x14ac:dyDescent="0.25">
      <c r="E95" s="5">
        <f t="shared" si="1"/>
        <v>110</v>
      </c>
      <c r="F95" s="5">
        <v>39</v>
      </c>
      <c r="G95" s="5">
        <v>1</v>
      </c>
      <c r="H95" s="5">
        <v>7</v>
      </c>
      <c r="I95" s="5" t="s">
        <v>18</v>
      </c>
      <c r="J95" s="5"/>
      <c r="K95" s="5"/>
      <c r="L95" s="5" t="s">
        <v>214</v>
      </c>
    </row>
    <row r="96" spans="5:15" x14ac:dyDescent="0.25">
      <c r="E96" s="5">
        <f t="shared" si="1"/>
        <v>111</v>
      </c>
      <c r="F96" s="5">
        <v>39</v>
      </c>
      <c r="G96" s="5">
        <v>2</v>
      </c>
      <c r="H96" s="5">
        <v>17</v>
      </c>
      <c r="I96" s="5">
        <v>911</v>
      </c>
      <c r="J96" s="5" t="s">
        <v>451</v>
      </c>
      <c r="K96" s="5" t="s">
        <v>439</v>
      </c>
      <c r="L96" s="5"/>
    </row>
    <row r="97" spans="5:15" x14ac:dyDescent="0.25">
      <c r="E97" s="5">
        <f t="shared" si="1"/>
        <v>112</v>
      </c>
      <c r="F97" s="5">
        <v>25</v>
      </c>
      <c r="G97" s="5">
        <v>1</v>
      </c>
      <c r="H97" s="5">
        <v>7</v>
      </c>
      <c r="I97" s="5" t="s">
        <v>18</v>
      </c>
      <c r="J97" s="5" t="s">
        <v>457</v>
      </c>
      <c r="K97" s="5" t="s">
        <v>458</v>
      </c>
      <c r="L97" s="7"/>
    </row>
    <row r="98" spans="5:15" x14ac:dyDescent="0.25">
      <c r="E98" s="5">
        <f t="shared" si="1"/>
        <v>113</v>
      </c>
      <c r="F98" s="5">
        <v>46</v>
      </c>
      <c r="G98" s="5">
        <v>1</v>
      </c>
      <c r="H98" s="5">
        <v>7</v>
      </c>
      <c r="I98" s="5" t="s">
        <v>17</v>
      </c>
      <c r="J98" s="5" t="s">
        <v>437</v>
      </c>
      <c r="K98" s="5" t="s">
        <v>436</v>
      </c>
      <c r="L98" s="7"/>
    </row>
    <row r="99" spans="5:15" x14ac:dyDescent="0.25">
      <c r="E99" s="5">
        <f t="shared" si="1"/>
        <v>114</v>
      </c>
      <c r="F99" s="5">
        <v>47</v>
      </c>
      <c r="G99" s="5">
        <v>1</v>
      </c>
      <c r="H99" s="5">
        <v>7</v>
      </c>
      <c r="I99" s="5" t="s">
        <v>17</v>
      </c>
      <c r="J99" s="5"/>
      <c r="K99" s="5" t="s">
        <v>435</v>
      </c>
      <c r="L99" s="5"/>
      <c r="O99" t="s">
        <v>76</v>
      </c>
    </row>
    <row r="100" spans="5:15" x14ac:dyDescent="0.25">
      <c r="E100" s="5">
        <f t="shared" si="1"/>
        <v>115</v>
      </c>
      <c r="F100" s="5">
        <v>48</v>
      </c>
      <c r="G100" s="5">
        <v>1</v>
      </c>
      <c r="H100" s="5">
        <v>7</v>
      </c>
      <c r="I100" s="5" t="s">
        <v>17</v>
      </c>
      <c r="J100" s="5" t="s">
        <v>459</v>
      </c>
      <c r="K100" s="5" t="s">
        <v>460</v>
      </c>
      <c r="L100" s="7"/>
    </row>
    <row r="101" spans="5:15" x14ac:dyDescent="0.25">
      <c r="E101" s="5">
        <f t="shared" si="1"/>
        <v>116</v>
      </c>
      <c r="F101" s="5">
        <v>49</v>
      </c>
      <c r="G101" s="5">
        <v>1</v>
      </c>
      <c r="H101" s="5">
        <v>7</v>
      </c>
      <c r="I101" s="5" t="s">
        <v>17</v>
      </c>
      <c r="J101" s="5"/>
      <c r="K101" s="5"/>
      <c r="L101" s="7" t="s">
        <v>214</v>
      </c>
    </row>
    <row r="102" spans="5:15" x14ac:dyDescent="0.25">
      <c r="E102" s="5">
        <f t="shared" si="1"/>
        <v>117</v>
      </c>
      <c r="F102" s="5">
        <v>49</v>
      </c>
      <c r="G102" s="5">
        <v>2</v>
      </c>
      <c r="H102" s="5">
        <v>17</v>
      </c>
      <c r="I102" s="5">
        <v>911</v>
      </c>
      <c r="J102" s="5" t="s">
        <v>448</v>
      </c>
      <c r="K102" s="5" t="s">
        <v>448</v>
      </c>
      <c r="L102" s="7" t="s">
        <v>195</v>
      </c>
    </row>
    <row r="103" spans="5:15" x14ac:dyDescent="0.25">
      <c r="E103" s="5">
        <f t="shared" si="1"/>
        <v>118</v>
      </c>
      <c r="F103" s="5">
        <v>49</v>
      </c>
      <c r="G103" s="5">
        <v>3</v>
      </c>
      <c r="H103" s="5">
        <v>17</v>
      </c>
      <c r="I103" s="5" t="s">
        <v>321</v>
      </c>
      <c r="J103" s="5" t="s">
        <v>448</v>
      </c>
      <c r="K103" s="5" t="s">
        <v>448</v>
      </c>
      <c r="L103" s="7"/>
    </row>
    <row r="104" spans="5:15" x14ac:dyDescent="0.25">
      <c r="E104" s="5">
        <f t="shared" si="1"/>
        <v>119</v>
      </c>
      <c r="F104" s="5">
        <v>49</v>
      </c>
      <c r="G104" s="5">
        <v>1</v>
      </c>
      <c r="H104" s="5">
        <v>7</v>
      </c>
      <c r="I104" s="5" t="s">
        <v>18</v>
      </c>
      <c r="J104" s="5"/>
      <c r="K104" s="5"/>
      <c r="L104" s="7" t="s">
        <v>289</v>
      </c>
    </row>
    <row r="105" spans="5:15" x14ac:dyDescent="0.25">
      <c r="E105" s="5">
        <f t="shared" si="1"/>
        <v>120</v>
      </c>
      <c r="F105" s="5">
        <v>49</v>
      </c>
      <c r="G105" s="5">
        <v>2</v>
      </c>
      <c r="H105" s="5">
        <v>17</v>
      </c>
      <c r="I105" s="5" t="s">
        <v>241</v>
      </c>
      <c r="J105" s="5" t="s">
        <v>454</v>
      </c>
      <c r="K105" s="5"/>
      <c r="L105" s="7"/>
    </row>
    <row r="106" spans="5:15" x14ac:dyDescent="0.25">
      <c r="E106" s="5">
        <f t="shared" si="1"/>
        <v>121</v>
      </c>
      <c r="F106" s="5">
        <v>50</v>
      </c>
      <c r="G106" s="5">
        <v>1</v>
      </c>
      <c r="H106" s="5">
        <v>7</v>
      </c>
      <c r="I106" s="5" t="s">
        <v>17</v>
      </c>
      <c r="J106" s="5"/>
      <c r="K106" s="5"/>
      <c r="L106" s="7" t="s">
        <v>289</v>
      </c>
    </row>
    <row r="107" spans="5:15" x14ac:dyDescent="0.25">
      <c r="E107" s="5">
        <f t="shared" si="1"/>
        <v>122</v>
      </c>
      <c r="F107" s="5">
        <v>50</v>
      </c>
      <c r="G107" s="5">
        <v>2</v>
      </c>
      <c r="H107" s="5">
        <v>17</v>
      </c>
      <c r="I107" s="5">
        <v>911</v>
      </c>
      <c r="J107" s="5"/>
      <c r="K107" s="5" t="s">
        <v>449</v>
      </c>
      <c r="L107" s="5" t="s">
        <v>195</v>
      </c>
    </row>
    <row r="108" spans="5:15" x14ac:dyDescent="0.25">
      <c r="E108" s="5">
        <f t="shared" si="1"/>
        <v>123</v>
      </c>
      <c r="F108" s="5">
        <v>50</v>
      </c>
      <c r="G108" s="5">
        <v>3</v>
      </c>
      <c r="H108" s="5">
        <v>17</v>
      </c>
      <c r="I108" s="5" t="s">
        <v>321</v>
      </c>
      <c r="J108" s="5"/>
      <c r="K108" s="5" t="s">
        <v>449</v>
      </c>
      <c r="L108" s="5"/>
    </row>
    <row r="109" spans="5:15" x14ac:dyDescent="0.25">
      <c r="E109" s="5">
        <f t="shared" si="1"/>
        <v>124</v>
      </c>
      <c r="F109" s="5">
        <v>51</v>
      </c>
      <c r="G109" s="5">
        <v>1</v>
      </c>
      <c r="H109" s="5">
        <v>7</v>
      </c>
      <c r="I109" s="5" t="s">
        <v>17</v>
      </c>
      <c r="J109" s="5"/>
      <c r="K109" s="5"/>
      <c r="L109" s="7" t="s">
        <v>289</v>
      </c>
    </row>
    <row r="110" spans="5:15" x14ac:dyDescent="0.25">
      <c r="E110" s="5">
        <f t="shared" si="1"/>
        <v>125</v>
      </c>
      <c r="F110" s="5">
        <v>51</v>
      </c>
      <c r="G110" s="5">
        <v>2</v>
      </c>
      <c r="H110" s="5">
        <v>17</v>
      </c>
      <c r="I110" s="5">
        <v>911</v>
      </c>
      <c r="J110" s="5" t="s">
        <v>449</v>
      </c>
      <c r="K110" s="5"/>
      <c r="L110" s="5" t="s">
        <v>195</v>
      </c>
    </row>
    <row r="111" spans="5:15" x14ac:dyDescent="0.25">
      <c r="E111" s="5">
        <f t="shared" si="1"/>
        <v>126</v>
      </c>
      <c r="F111" s="5">
        <v>51</v>
      </c>
      <c r="G111" s="5">
        <v>3</v>
      </c>
      <c r="H111" s="5">
        <v>17</v>
      </c>
      <c r="I111" s="5" t="s">
        <v>321</v>
      </c>
      <c r="J111" s="5" t="s">
        <v>449</v>
      </c>
      <c r="K111" s="5"/>
      <c r="L111" s="5"/>
    </row>
    <row r="112" spans="5:15" x14ac:dyDescent="0.25">
      <c r="E112" s="5">
        <f t="shared" si="1"/>
        <v>127</v>
      </c>
      <c r="F112" s="5">
        <v>52</v>
      </c>
      <c r="G112" s="5">
        <v>1</v>
      </c>
      <c r="H112" s="5">
        <v>7</v>
      </c>
      <c r="I112" s="5" t="s">
        <v>17</v>
      </c>
      <c r="J112" s="5"/>
      <c r="K112" s="5"/>
      <c r="L112" s="7" t="s">
        <v>289</v>
      </c>
    </row>
    <row r="113" spans="5:17" x14ac:dyDescent="0.25">
      <c r="E113" s="5">
        <f t="shared" si="1"/>
        <v>128</v>
      </c>
      <c r="F113" s="5">
        <v>52</v>
      </c>
      <c r="G113" s="5">
        <v>2</v>
      </c>
      <c r="H113" s="5">
        <v>17</v>
      </c>
      <c r="I113" s="5">
        <v>911</v>
      </c>
      <c r="J113" s="5" t="s">
        <v>448</v>
      </c>
      <c r="K113" s="5"/>
      <c r="L113" s="5" t="s">
        <v>195</v>
      </c>
    </row>
    <row r="114" spans="5:17" x14ac:dyDescent="0.25">
      <c r="E114" s="5">
        <f t="shared" si="1"/>
        <v>129</v>
      </c>
      <c r="F114" s="5">
        <v>52</v>
      </c>
      <c r="G114" s="5">
        <v>3</v>
      </c>
      <c r="H114" s="5">
        <v>17</v>
      </c>
      <c r="I114" s="5" t="s">
        <v>321</v>
      </c>
      <c r="J114" s="5" t="s">
        <v>448</v>
      </c>
      <c r="K114" s="5"/>
      <c r="L114" s="5"/>
    </row>
    <row r="115" spans="5:17" x14ac:dyDescent="0.25">
      <c r="E115" s="5">
        <f t="shared" si="1"/>
        <v>130</v>
      </c>
      <c r="F115" s="5">
        <v>53</v>
      </c>
      <c r="G115" s="5">
        <v>1</v>
      </c>
      <c r="H115" s="5">
        <v>7</v>
      </c>
      <c r="I115" s="5" t="s">
        <v>17</v>
      </c>
      <c r="J115" s="5"/>
      <c r="K115" s="5"/>
      <c r="L115" s="5" t="s">
        <v>214</v>
      </c>
    </row>
    <row r="116" spans="5:17" x14ac:dyDescent="0.25">
      <c r="E116" s="5">
        <f t="shared" si="1"/>
        <v>131</v>
      </c>
      <c r="F116" s="5">
        <v>53</v>
      </c>
      <c r="G116" s="5">
        <v>2</v>
      </c>
      <c r="H116" s="5">
        <v>17</v>
      </c>
      <c r="I116" s="5">
        <v>911</v>
      </c>
      <c r="J116" s="5"/>
      <c r="K116" s="5" t="s">
        <v>450</v>
      </c>
      <c r="L116" s="5" t="s">
        <v>195</v>
      </c>
    </row>
    <row r="117" spans="5:17" x14ac:dyDescent="0.25">
      <c r="E117" s="5">
        <f t="shared" si="1"/>
        <v>132</v>
      </c>
      <c r="F117" s="5">
        <v>53</v>
      </c>
      <c r="G117" s="5">
        <v>3</v>
      </c>
      <c r="H117" s="5">
        <v>17</v>
      </c>
      <c r="I117" s="5" t="s">
        <v>321</v>
      </c>
      <c r="J117" s="5"/>
      <c r="K117" s="5" t="s">
        <v>450</v>
      </c>
      <c r="L117" s="5"/>
    </row>
    <row r="118" spans="5:17" x14ac:dyDescent="0.25">
      <c r="E118" s="5">
        <f t="shared" si="1"/>
        <v>133</v>
      </c>
      <c r="F118" s="5">
        <v>54</v>
      </c>
      <c r="G118" s="5">
        <v>1</v>
      </c>
      <c r="H118" s="5">
        <v>7</v>
      </c>
      <c r="I118" s="5" t="s">
        <v>17</v>
      </c>
      <c r="J118" s="5"/>
      <c r="K118" s="5"/>
      <c r="L118" s="5" t="s">
        <v>214</v>
      </c>
    </row>
    <row r="119" spans="5:17" x14ac:dyDescent="0.25">
      <c r="E119" s="5">
        <f t="shared" si="1"/>
        <v>134</v>
      </c>
      <c r="F119" s="5">
        <v>54</v>
      </c>
      <c r="G119" s="5">
        <v>2</v>
      </c>
      <c r="H119" s="5">
        <v>17</v>
      </c>
      <c r="I119" s="5">
        <v>911</v>
      </c>
      <c r="J119" s="5"/>
      <c r="K119" s="5" t="s">
        <v>450</v>
      </c>
      <c r="L119" s="5" t="s">
        <v>195</v>
      </c>
    </row>
    <row r="120" spans="5:17" x14ac:dyDescent="0.25">
      <c r="E120" s="5">
        <f t="shared" si="1"/>
        <v>135</v>
      </c>
      <c r="F120" s="5">
        <v>54</v>
      </c>
      <c r="G120" s="5">
        <v>3</v>
      </c>
      <c r="H120" s="5">
        <v>17</v>
      </c>
      <c r="I120" s="5" t="s">
        <v>321</v>
      </c>
      <c r="J120" s="5"/>
      <c r="K120" s="5" t="s">
        <v>450</v>
      </c>
      <c r="L120" s="5"/>
    </row>
    <row r="121" spans="5:17" x14ac:dyDescent="0.25">
      <c r="E121" s="5">
        <f t="shared" si="1"/>
        <v>136</v>
      </c>
      <c r="F121" s="5">
        <v>55</v>
      </c>
      <c r="G121" s="5">
        <v>1</v>
      </c>
      <c r="H121" s="5">
        <v>7</v>
      </c>
      <c r="I121" s="5" t="s">
        <v>17</v>
      </c>
      <c r="J121" s="5"/>
      <c r="K121" s="5"/>
      <c r="L121" s="5" t="s">
        <v>214</v>
      </c>
    </row>
    <row r="122" spans="5:17" x14ac:dyDescent="0.25">
      <c r="E122" s="5">
        <f t="shared" si="1"/>
        <v>137</v>
      </c>
      <c r="F122" s="5">
        <v>55</v>
      </c>
      <c r="G122" s="5">
        <v>2</v>
      </c>
      <c r="H122" s="5">
        <v>17</v>
      </c>
      <c r="I122" s="5">
        <v>911</v>
      </c>
      <c r="J122" s="5" t="s">
        <v>455</v>
      </c>
      <c r="K122" s="5" t="s">
        <v>450</v>
      </c>
      <c r="L122" s="5" t="s">
        <v>195</v>
      </c>
    </row>
    <row r="123" spans="5:17" x14ac:dyDescent="0.25">
      <c r="E123" s="5">
        <f t="shared" si="1"/>
        <v>138</v>
      </c>
      <c r="F123" s="5">
        <v>55</v>
      </c>
      <c r="G123" s="5">
        <v>3</v>
      </c>
      <c r="H123" s="5">
        <v>17</v>
      </c>
      <c r="I123" s="5" t="s">
        <v>321</v>
      </c>
      <c r="J123" s="5" t="s">
        <v>455</v>
      </c>
      <c r="K123" s="5" t="s">
        <v>450</v>
      </c>
      <c r="L123" s="5"/>
    </row>
    <row r="124" spans="5:17" x14ac:dyDescent="0.25">
      <c r="E124" s="5">
        <f t="shared" si="1"/>
        <v>139</v>
      </c>
      <c r="F124" s="5">
        <v>56</v>
      </c>
      <c r="G124" s="5">
        <v>1</v>
      </c>
      <c r="H124" s="5">
        <v>7</v>
      </c>
      <c r="I124" s="5" t="s">
        <v>17</v>
      </c>
      <c r="J124" s="5"/>
      <c r="K124" s="5"/>
      <c r="L124" s="5" t="s">
        <v>214</v>
      </c>
      <c r="M124" s="1"/>
      <c r="N124" s="26"/>
      <c r="O124" s="26"/>
      <c r="P124" s="26"/>
      <c r="Q124" s="3"/>
    </row>
    <row r="125" spans="5:17" x14ac:dyDescent="0.25">
      <c r="E125" s="5">
        <f t="shared" si="1"/>
        <v>140</v>
      </c>
      <c r="F125" s="5">
        <v>56</v>
      </c>
      <c r="G125" s="5">
        <v>2</v>
      </c>
      <c r="H125" s="5">
        <v>17</v>
      </c>
      <c r="I125" s="5">
        <v>911</v>
      </c>
      <c r="J125" s="5" t="s">
        <v>455</v>
      </c>
      <c r="K125" s="5"/>
      <c r="L125" s="5" t="s">
        <v>195</v>
      </c>
    </row>
    <row r="126" spans="5:17" x14ac:dyDescent="0.25">
      <c r="E126" s="5">
        <f t="shared" si="1"/>
        <v>141</v>
      </c>
      <c r="F126" s="5">
        <v>56</v>
      </c>
      <c r="G126" s="5">
        <v>3</v>
      </c>
      <c r="H126" s="5">
        <v>17</v>
      </c>
      <c r="I126" s="5" t="s">
        <v>321</v>
      </c>
      <c r="J126" s="5" t="s">
        <v>455</v>
      </c>
      <c r="K126" s="5"/>
      <c r="L126" s="5"/>
    </row>
    <row r="127" spans="5:17" x14ac:dyDescent="0.25">
      <c r="E127" s="5">
        <f t="shared" si="1"/>
        <v>142</v>
      </c>
      <c r="F127" s="5">
        <v>57</v>
      </c>
      <c r="G127" s="5">
        <v>1</v>
      </c>
      <c r="H127" s="5">
        <v>7</v>
      </c>
      <c r="I127" s="5" t="s">
        <v>17</v>
      </c>
      <c r="J127" s="5"/>
      <c r="K127" s="5" t="s">
        <v>461</v>
      </c>
      <c r="L127" s="7"/>
    </row>
    <row r="128" spans="5:17" x14ac:dyDescent="0.25">
      <c r="E128" s="5">
        <f t="shared" si="1"/>
        <v>143</v>
      </c>
      <c r="F128" s="5">
        <v>58</v>
      </c>
      <c r="G128" s="5">
        <v>1</v>
      </c>
      <c r="H128" s="5">
        <v>7</v>
      </c>
      <c r="I128" s="5" t="s">
        <v>17</v>
      </c>
      <c r="J128" s="5"/>
      <c r="K128" s="5" t="s">
        <v>462</v>
      </c>
      <c r="L128" s="7"/>
    </row>
    <row r="129" spans="5:12" x14ac:dyDescent="0.25">
      <c r="E129" s="5">
        <f t="shared" si="1"/>
        <v>144</v>
      </c>
      <c r="F129" s="5">
        <v>59</v>
      </c>
      <c r="G129" s="5">
        <v>1</v>
      </c>
      <c r="H129" s="5">
        <v>7</v>
      </c>
      <c r="I129" s="5" t="s">
        <v>17</v>
      </c>
      <c r="J129" s="5"/>
      <c r="K129" s="5" t="s">
        <v>445</v>
      </c>
      <c r="L129" s="7"/>
    </row>
    <row r="130" spans="5:12" x14ac:dyDescent="0.25">
      <c r="E130" s="5">
        <f t="shared" si="1"/>
        <v>145</v>
      </c>
      <c r="F130" s="5">
        <v>60</v>
      </c>
      <c r="G130" s="5">
        <v>1</v>
      </c>
      <c r="H130" s="5">
        <v>7</v>
      </c>
      <c r="I130" s="5" t="s">
        <v>17</v>
      </c>
      <c r="J130" s="5"/>
      <c r="K130" s="5" t="s">
        <v>449</v>
      </c>
      <c r="L130" s="7"/>
    </row>
    <row r="131" spans="5:12" x14ac:dyDescent="0.25">
      <c r="E131" s="5">
        <f t="shared" si="1"/>
        <v>146</v>
      </c>
      <c r="F131" s="5">
        <v>61</v>
      </c>
      <c r="G131" s="5">
        <v>1</v>
      </c>
      <c r="H131" s="5">
        <v>7</v>
      </c>
      <c r="I131" s="5" t="s">
        <v>17</v>
      </c>
      <c r="J131" s="5" t="s">
        <v>447</v>
      </c>
      <c r="K131" s="5" t="s">
        <v>447</v>
      </c>
      <c r="L131" s="7"/>
    </row>
    <row r="132" spans="5:12" x14ac:dyDescent="0.25">
      <c r="E132" s="5">
        <f t="shared" si="1"/>
        <v>147</v>
      </c>
      <c r="F132" s="5">
        <v>62</v>
      </c>
      <c r="G132" s="5">
        <v>1</v>
      </c>
      <c r="H132" s="5">
        <v>7</v>
      </c>
      <c r="I132" s="5" t="s">
        <v>17</v>
      </c>
      <c r="J132" s="5" t="s">
        <v>459</v>
      </c>
      <c r="K132" s="5" t="s">
        <v>442</v>
      </c>
      <c r="L132" s="7"/>
    </row>
    <row r="133" spans="5:12" x14ac:dyDescent="0.25">
      <c r="E133" s="5">
        <f t="shared" si="1"/>
        <v>148</v>
      </c>
      <c r="F133" s="5">
        <v>63</v>
      </c>
      <c r="G133" s="5">
        <v>1</v>
      </c>
      <c r="H133" s="5">
        <v>7</v>
      </c>
      <c r="I133" s="5" t="s">
        <v>17</v>
      </c>
      <c r="J133" s="5" t="s">
        <v>448</v>
      </c>
      <c r="K133" s="5" t="s">
        <v>442</v>
      </c>
      <c r="L133" s="7"/>
    </row>
    <row r="134" spans="5:12" x14ac:dyDescent="0.25">
      <c r="E134" s="5">
        <f t="shared" si="1"/>
        <v>149</v>
      </c>
      <c r="F134" s="5"/>
      <c r="G134" s="5"/>
      <c r="H134" s="5"/>
      <c r="I134" s="5"/>
      <c r="J134" s="5"/>
      <c r="K134" s="5"/>
      <c r="L134" s="7"/>
    </row>
    <row r="135" spans="5:12" x14ac:dyDescent="0.25">
      <c r="E135" s="5">
        <f t="shared" ref="E135" si="2">E134+1</f>
        <v>150</v>
      </c>
      <c r="F135" s="5"/>
      <c r="G135" s="5"/>
      <c r="H135" s="5"/>
      <c r="I135" s="5"/>
      <c r="J135" s="5"/>
      <c r="K135" s="5"/>
      <c r="L135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A3D7-90F2-4177-9A9D-436144ED3D8D}">
  <dimension ref="D3:F34"/>
  <sheetViews>
    <sheetView topLeftCell="A3" workbookViewId="0">
      <selection activeCell="E11" sqref="E11"/>
    </sheetView>
  </sheetViews>
  <sheetFormatPr defaultRowHeight="15" x14ac:dyDescent="0.25"/>
  <cols>
    <col min="5" max="5" width="29.85546875" bestFit="1" customWidth="1"/>
    <col min="6" max="6" width="106" bestFit="1" customWidth="1"/>
    <col min="7" max="7" width="23.140625" customWidth="1"/>
    <col min="8" max="8" width="31" bestFit="1" customWidth="1"/>
  </cols>
  <sheetData>
    <row r="3" spans="4:6" ht="21" x14ac:dyDescent="0.35">
      <c r="D3" s="10" t="s">
        <v>199</v>
      </c>
      <c r="E3" s="10"/>
      <c r="F3" s="11"/>
    </row>
    <row r="4" spans="4:6" x14ac:dyDescent="0.25">
      <c r="D4" s="4" t="s">
        <v>73</v>
      </c>
      <c r="E4" s="4" t="s">
        <v>74</v>
      </c>
      <c r="F4" s="4" t="s">
        <v>75</v>
      </c>
    </row>
    <row r="5" spans="4:6" x14ac:dyDescent="0.25">
      <c r="D5" s="5">
        <v>30</v>
      </c>
      <c r="E5" s="13" t="s">
        <v>4</v>
      </c>
      <c r="F5" s="7" t="s">
        <v>114</v>
      </c>
    </row>
    <row r="6" spans="4:6" x14ac:dyDescent="0.25">
      <c r="D6" s="5">
        <v>31</v>
      </c>
      <c r="E6" s="13" t="s">
        <v>15</v>
      </c>
      <c r="F6" s="7" t="s">
        <v>308</v>
      </c>
    </row>
    <row r="7" spans="4:6" x14ac:dyDescent="0.25">
      <c r="D7" s="5">
        <v>32</v>
      </c>
      <c r="E7" s="13" t="s">
        <v>16</v>
      </c>
      <c r="F7" s="7" t="s">
        <v>112</v>
      </c>
    </row>
    <row r="8" spans="4:6" x14ac:dyDescent="0.25">
      <c r="D8" s="5">
        <v>33</v>
      </c>
      <c r="E8" s="13" t="s">
        <v>99</v>
      </c>
      <c r="F8" s="7" t="s">
        <v>111</v>
      </c>
    </row>
    <row r="9" spans="4:6" x14ac:dyDescent="0.25">
      <c r="D9" s="5">
        <v>34</v>
      </c>
      <c r="E9" s="13" t="s">
        <v>98</v>
      </c>
      <c r="F9" s="7" t="s">
        <v>109</v>
      </c>
    </row>
    <row r="10" spans="4:6" x14ac:dyDescent="0.25">
      <c r="D10" s="5">
        <v>35</v>
      </c>
      <c r="E10" s="13" t="s">
        <v>100</v>
      </c>
      <c r="F10" s="7" t="s">
        <v>110</v>
      </c>
    </row>
    <row r="11" spans="4:6" x14ac:dyDescent="0.25">
      <c r="D11" s="5">
        <v>36</v>
      </c>
      <c r="E11" s="13" t="s">
        <v>19</v>
      </c>
      <c r="F11" s="13" t="s">
        <v>104</v>
      </c>
    </row>
    <row r="12" spans="4:6" x14ac:dyDescent="0.25">
      <c r="D12" s="5">
        <v>37</v>
      </c>
      <c r="E12" s="13" t="s">
        <v>5</v>
      </c>
      <c r="F12" s="13" t="s">
        <v>105</v>
      </c>
    </row>
    <row r="13" spans="4:6" x14ac:dyDescent="0.25">
      <c r="D13" s="5">
        <v>38</v>
      </c>
      <c r="E13" s="13" t="s">
        <v>6</v>
      </c>
      <c r="F13" s="13" t="s">
        <v>106</v>
      </c>
    </row>
    <row r="14" spans="4:6" x14ac:dyDescent="0.25">
      <c r="D14" s="5">
        <v>39</v>
      </c>
      <c r="E14" s="13" t="s">
        <v>20</v>
      </c>
      <c r="F14" s="13" t="s">
        <v>239</v>
      </c>
    </row>
    <row r="15" spans="4:6" x14ac:dyDescent="0.25">
      <c r="D15" s="5">
        <v>40</v>
      </c>
      <c r="E15" s="13" t="s">
        <v>21</v>
      </c>
      <c r="F15" s="13" t="s">
        <v>107</v>
      </c>
    </row>
    <row r="16" spans="4:6" x14ac:dyDescent="0.25">
      <c r="D16" s="5">
        <v>41</v>
      </c>
      <c r="E16" s="13" t="s">
        <v>22</v>
      </c>
      <c r="F16" s="13" t="s">
        <v>101</v>
      </c>
    </row>
    <row r="17" spans="4:6" x14ac:dyDescent="0.25">
      <c r="D17" s="5">
        <v>42</v>
      </c>
      <c r="E17" s="13" t="s">
        <v>102</v>
      </c>
      <c r="F17" s="13" t="s">
        <v>108</v>
      </c>
    </row>
    <row r="18" spans="4:6" x14ac:dyDescent="0.25">
      <c r="D18" s="5">
        <v>43</v>
      </c>
      <c r="E18" s="13" t="s">
        <v>115</v>
      </c>
      <c r="F18" s="13" t="s">
        <v>116</v>
      </c>
    </row>
    <row r="19" spans="4:6" x14ac:dyDescent="0.25">
      <c r="D19" s="5">
        <v>44</v>
      </c>
      <c r="E19" s="13" t="s">
        <v>219</v>
      </c>
      <c r="F19" s="13" t="s">
        <v>221</v>
      </c>
    </row>
    <row r="20" spans="4:6" x14ac:dyDescent="0.25">
      <c r="D20" s="5">
        <v>45</v>
      </c>
      <c r="E20" s="13" t="s">
        <v>220</v>
      </c>
      <c r="F20" s="13" t="s">
        <v>222</v>
      </c>
    </row>
    <row r="21" spans="4:6" x14ac:dyDescent="0.25">
      <c r="D21" s="5">
        <v>46</v>
      </c>
      <c r="E21" s="13" t="s">
        <v>237</v>
      </c>
      <c r="F21" s="13" t="s">
        <v>238</v>
      </c>
    </row>
    <row r="22" spans="4:6" x14ac:dyDescent="0.25">
      <c r="D22" s="5">
        <v>47</v>
      </c>
      <c r="E22" s="13" t="s">
        <v>251</v>
      </c>
      <c r="F22" s="13" t="s">
        <v>250</v>
      </c>
    </row>
    <row r="23" spans="4:6" x14ac:dyDescent="0.25">
      <c r="D23" s="5">
        <v>48</v>
      </c>
      <c r="E23" s="13" t="s">
        <v>264</v>
      </c>
      <c r="F23" s="13" t="s">
        <v>269</v>
      </c>
    </row>
    <row r="24" spans="4:6" x14ac:dyDescent="0.25">
      <c r="D24" s="5">
        <v>49</v>
      </c>
      <c r="E24" s="13" t="s">
        <v>265</v>
      </c>
      <c r="F24" s="13" t="s">
        <v>270</v>
      </c>
    </row>
    <row r="25" spans="4:6" x14ac:dyDescent="0.25">
      <c r="D25" s="5">
        <v>50</v>
      </c>
      <c r="E25" s="13" t="s">
        <v>266</v>
      </c>
      <c r="F25" s="13" t="s">
        <v>271</v>
      </c>
    </row>
    <row r="26" spans="4:6" x14ac:dyDescent="0.25">
      <c r="D26" s="5">
        <v>51</v>
      </c>
      <c r="E26" s="13" t="s">
        <v>267</v>
      </c>
      <c r="F26" s="13" t="s">
        <v>282</v>
      </c>
    </row>
    <row r="27" spans="4:6" x14ac:dyDescent="0.25">
      <c r="D27" s="5">
        <v>52</v>
      </c>
      <c r="E27" s="13" t="s">
        <v>268</v>
      </c>
      <c r="F27" s="13" t="s">
        <v>272</v>
      </c>
    </row>
    <row r="28" spans="4:6" x14ac:dyDescent="0.25">
      <c r="D28" s="5">
        <v>53</v>
      </c>
      <c r="E28" s="13" t="s">
        <v>283</v>
      </c>
      <c r="F28" s="13" t="s">
        <v>273</v>
      </c>
    </row>
    <row r="29" spans="4:6" x14ac:dyDescent="0.25">
      <c r="D29" s="5">
        <v>54</v>
      </c>
      <c r="E29" s="13" t="s">
        <v>284</v>
      </c>
      <c r="F29" s="13" t="s">
        <v>274</v>
      </c>
    </row>
    <row r="30" spans="4:6" x14ac:dyDescent="0.25">
      <c r="D30" s="5">
        <v>55</v>
      </c>
      <c r="E30" s="13" t="s">
        <v>285</v>
      </c>
      <c r="F30" s="13" t="s">
        <v>286</v>
      </c>
    </row>
    <row r="31" spans="4:6" x14ac:dyDescent="0.25">
      <c r="D31" s="5">
        <v>56</v>
      </c>
      <c r="E31" s="13" t="s">
        <v>302</v>
      </c>
      <c r="F31" s="13" t="s">
        <v>301</v>
      </c>
    </row>
    <row r="32" spans="4:6" x14ac:dyDescent="0.25">
      <c r="D32" s="5">
        <v>57</v>
      </c>
      <c r="E32" s="13" t="s">
        <v>319</v>
      </c>
      <c r="F32" s="7" t="s">
        <v>319</v>
      </c>
    </row>
    <row r="33" spans="4:6" x14ac:dyDescent="0.25">
      <c r="D33" s="5">
        <v>58</v>
      </c>
      <c r="E33" s="13" t="s">
        <v>341</v>
      </c>
      <c r="F33" s="7" t="s">
        <v>342</v>
      </c>
    </row>
    <row r="34" spans="4:6" x14ac:dyDescent="0.25">
      <c r="D34" s="5">
        <v>59</v>
      </c>
      <c r="E34" s="13" t="s">
        <v>343</v>
      </c>
      <c r="F34" s="7" t="s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E55E-ABC0-4EE1-8655-CDA6277ADC49}">
  <dimension ref="D4:E18"/>
  <sheetViews>
    <sheetView workbookViewId="0">
      <selection activeCell="E6" sqref="E6"/>
    </sheetView>
  </sheetViews>
  <sheetFormatPr defaultRowHeight="15" x14ac:dyDescent="0.25"/>
  <cols>
    <col min="5" max="5" width="22.7109375" customWidth="1"/>
  </cols>
  <sheetData>
    <row r="4" spans="4:5" ht="21" x14ac:dyDescent="0.35">
      <c r="D4" s="10" t="s">
        <v>188</v>
      </c>
    </row>
    <row r="5" spans="4:5" x14ac:dyDescent="0.25">
      <c r="D5" s="4" t="s">
        <v>73</v>
      </c>
      <c r="E5" s="4" t="s">
        <v>74</v>
      </c>
    </row>
    <row r="6" spans="4:5" x14ac:dyDescent="0.25">
      <c r="D6" s="5">
        <v>7</v>
      </c>
      <c r="E6" s="5" t="s">
        <v>7</v>
      </c>
    </row>
    <row r="7" spans="4:5" x14ac:dyDescent="0.25">
      <c r="D7" s="5">
        <v>8</v>
      </c>
      <c r="E7" s="5" t="s">
        <v>2</v>
      </c>
    </row>
    <row r="8" spans="4:5" x14ac:dyDescent="0.25">
      <c r="D8" s="5">
        <v>9</v>
      </c>
      <c r="E8" s="5" t="s">
        <v>0</v>
      </c>
    </row>
    <row r="9" spans="4:5" x14ac:dyDescent="0.25">
      <c r="D9" s="5">
        <v>10</v>
      </c>
      <c r="E9" s="5" t="s">
        <v>27</v>
      </c>
    </row>
    <row r="10" spans="4:5" x14ac:dyDescent="0.25">
      <c r="D10" s="5">
        <v>11</v>
      </c>
      <c r="E10" s="5" t="s">
        <v>28</v>
      </c>
    </row>
    <row r="11" spans="4:5" x14ac:dyDescent="0.25">
      <c r="D11" s="5">
        <v>12</v>
      </c>
      <c r="E11" s="5" t="s">
        <v>8</v>
      </c>
    </row>
    <row r="12" spans="4:5" x14ac:dyDescent="0.25">
      <c r="D12" s="5">
        <v>13</v>
      </c>
      <c r="E12" s="5" t="s">
        <v>9</v>
      </c>
    </row>
    <row r="13" spans="4:5" x14ac:dyDescent="0.25">
      <c r="D13" s="5">
        <v>14</v>
      </c>
      <c r="E13" s="5" t="s">
        <v>24</v>
      </c>
    </row>
    <row r="14" spans="4:5" x14ac:dyDescent="0.25">
      <c r="D14" s="5">
        <v>15</v>
      </c>
      <c r="E14" s="5" t="s">
        <v>26</v>
      </c>
    </row>
    <row r="15" spans="4:5" x14ac:dyDescent="0.25">
      <c r="D15" s="5">
        <v>16</v>
      </c>
      <c r="E15" s="5" t="s">
        <v>23</v>
      </c>
    </row>
    <row r="16" spans="4:5" x14ac:dyDescent="0.25">
      <c r="D16" s="5">
        <v>17</v>
      </c>
      <c r="E16" s="5" t="s">
        <v>244</v>
      </c>
    </row>
    <row r="17" spans="4:5" x14ac:dyDescent="0.25">
      <c r="D17" s="5">
        <v>18</v>
      </c>
      <c r="E17" s="5" t="s">
        <v>10</v>
      </c>
    </row>
    <row r="18" spans="4:5" x14ac:dyDescent="0.25">
      <c r="D18" s="5">
        <v>19</v>
      </c>
      <c r="E18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CDE8-B44F-41B4-A0CD-54B45BB55032}">
  <dimension ref="B3:I55"/>
  <sheetViews>
    <sheetView topLeftCell="A8" zoomScale="115" zoomScaleNormal="115" workbookViewId="0">
      <selection activeCell="D35" sqref="D35"/>
    </sheetView>
  </sheetViews>
  <sheetFormatPr defaultRowHeight="15" x14ac:dyDescent="0.25"/>
  <cols>
    <col min="3" max="3" width="24" bestFit="1" customWidth="1"/>
    <col min="4" max="4" width="79" customWidth="1"/>
    <col min="5" max="5" width="5.5703125" bestFit="1" customWidth="1"/>
    <col min="6" max="6" width="12.28515625" bestFit="1" customWidth="1"/>
    <col min="7" max="7" width="17" style="2" bestFit="1" customWidth="1"/>
    <col min="8" max="8" width="13" style="2" customWidth="1"/>
    <col min="10" max="10" width="11" customWidth="1"/>
    <col min="11" max="11" width="18.42578125" customWidth="1"/>
    <col min="12" max="12" width="73.7109375" bestFit="1" customWidth="1"/>
  </cols>
  <sheetData>
    <row r="3" spans="2:8" ht="21" x14ac:dyDescent="0.35">
      <c r="B3" s="10" t="s">
        <v>290</v>
      </c>
    </row>
    <row r="4" spans="2:8" x14ac:dyDescent="0.25">
      <c r="B4" s="4" t="s">
        <v>73</v>
      </c>
      <c r="C4" s="8" t="s">
        <v>74</v>
      </c>
      <c r="D4" s="8" t="s">
        <v>75</v>
      </c>
      <c r="G4"/>
      <c r="H4"/>
    </row>
    <row r="5" spans="2:8" x14ac:dyDescent="0.25">
      <c r="B5" s="5">
        <v>1</v>
      </c>
      <c r="C5" s="7" t="s">
        <v>291</v>
      </c>
      <c r="D5" s="7" t="s">
        <v>292</v>
      </c>
      <c r="G5"/>
      <c r="H5"/>
    </row>
    <row r="6" spans="2:8" x14ac:dyDescent="0.25">
      <c r="B6" s="5">
        <v>2</v>
      </c>
      <c r="C6" s="7" t="s">
        <v>243</v>
      </c>
      <c r="D6" s="7" t="s">
        <v>293</v>
      </c>
      <c r="G6"/>
      <c r="H6"/>
    </row>
    <row r="7" spans="2:8" x14ac:dyDescent="0.25">
      <c r="G7"/>
      <c r="H7"/>
    </row>
    <row r="8" spans="2:8" x14ac:dyDescent="0.25">
      <c r="G8"/>
      <c r="H8"/>
    </row>
    <row r="9" spans="2:8" ht="21" x14ac:dyDescent="0.35">
      <c r="B9" s="10" t="s">
        <v>96</v>
      </c>
    </row>
    <row r="10" spans="2:8" x14ac:dyDescent="0.25">
      <c r="B10" s="4" t="s">
        <v>73</v>
      </c>
      <c r="C10" s="8" t="s">
        <v>74</v>
      </c>
      <c r="D10" s="8" t="s">
        <v>75</v>
      </c>
      <c r="E10" s="4" t="s">
        <v>1</v>
      </c>
      <c r="F10" s="4" t="s">
        <v>97</v>
      </c>
      <c r="G10" s="4" t="s">
        <v>294</v>
      </c>
      <c r="H10" s="4" t="s">
        <v>295</v>
      </c>
    </row>
    <row r="11" spans="2:8" x14ac:dyDescent="0.25">
      <c r="B11" s="5">
        <v>1</v>
      </c>
      <c r="C11" s="7" t="s">
        <v>11</v>
      </c>
      <c r="D11" s="7" t="s">
        <v>94</v>
      </c>
      <c r="E11" s="5" t="s">
        <v>45</v>
      </c>
      <c r="F11" s="5">
        <v>1</v>
      </c>
      <c r="G11" s="5">
        <v>1</v>
      </c>
      <c r="H11" s="5"/>
    </row>
    <row r="12" spans="2:8" x14ac:dyDescent="0.25">
      <c r="B12" s="5">
        <v>2</v>
      </c>
      <c r="C12" s="7" t="s">
        <v>3</v>
      </c>
      <c r="D12" s="7" t="s">
        <v>84</v>
      </c>
      <c r="E12" s="5" t="s">
        <v>29</v>
      </c>
      <c r="F12" s="5">
        <v>1</v>
      </c>
      <c r="G12" s="5">
        <v>1</v>
      </c>
      <c r="H12" s="5"/>
    </row>
    <row r="13" spans="2:8" x14ac:dyDescent="0.25">
      <c r="B13" s="5">
        <v>3</v>
      </c>
      <c r="C13" s="7" t="s">
        <v>57</v>
      </c>
      <c r="D13" s="7" t="s">
        <v>89</v>
      </c>
      <c r="E13" s="5" t="s">
        <v>47</v>
      </c>
      <c r="F13" s="5">
        <v>1</v>
      </c>
      <c r="G13" s="5">
        <v>1</v>
      </c>
      <c r="H13" s="5"/>
    </row>
    <row r="14" spans="2:8" x14ac:dyDescent="0.25">
      <c r="B14" s="5">
        <v>4</v>
      </c>
      <c r="C14" s="7" t="s">
        <v>299</v>
      </c>
      <c r="D14" s="7" t="s">
        <v>299</v>
      </c>
      <c r="E14" s="5" t="s">
        <v>44</v>
      </c>
      <c r="F14" s="5">
        <v>1</v>
      </c>
      <c r="G14" s="5">
        <v>1</v>
      </c>
      <c r="H14" s="5"/>
    </row>
    <row r="15" spans="2:8" x14ac:dyDescent="0.25">
      <c r="B15" s="5">
        <v>5</v>
      </c>
      <c r="C15" s="27" t="s">
        <v>258</v>
      </c>
      <c r="D15" s="27" t="s">
        <v>259</v>
      </c>
      <c r="E15" s="5" t="s">
        <v>260</v>
      </c>
      <c r="F15" s="5">
        <v>1</v>
      </c>
      <c r="G15" s="5">
        <v>1</v>
      </c>
      <c r="H15" s="5"/>
    </row>
    <row r="16" spans="2:8" x14ac:dyDescent="0.25">
      <c r="B16" s="5">
        <v>6</v>
      </c>
      <c r="C16" s="7" t="s">
        <v>14</v>
      </c>
      <c r="D16" s="7" t="s">
        <v>86</v>
      </c>
      <c r="E16" s="5" t="s">
        <v>43</v>
      </c>
      <c r="F16" s="5">
        <v>1</v>
      </c>
      <c r="G16" s="5">
        <v>1</v>
      </c>
      <c r="H16" s="5"/>
    </row>
    <row r="17" spans="2:9" x14ac:dyDescent="0.25">
      <c r="B17" s="5">
        <v>7</v>
      </c>
      <c r="C17" s="7" t="s">
        <v>55</v>
      </c>
      <c r="D17" s="7" t="s">
        <v>54</v>
      </c>
      <c r="E17" s="5" t="s">
        <v>32</v>
      </c>
      <c r="F17" s="5">
        <v>1</v>
      </c>
      <c r="G17" s="5">
        <v>1</v>
      </c>
      <c r="H17" s="5"/>
    </row>
    <row r="18" spans="2:9" x14ac:dyDescent="0.25">
      <c r="B18" s="5">
        <v>8</v>
      </c>
      <c r="C18" s="7" t="s">
        <v>56</v>
      </c>
      <c r="D18" s="7" t="s">
        <v>77</v>
      </c>
      <c r="E18" s="5" t="s">
        <v>33</v>
      </c>
      <c r="F18" s="5">
        <v>1</v>
      </c>
      <c r="G18" s="5">
        <v>1</v>
      </c>
      <c r="H18" s="5"/>
    </row>
    <row r="19" spans="2:9" x14ac:dyDescent="0.25">
      <c r="B19" s="5">
        <v>9</v>
      </c>
      <c r="C19" s="7" t="s">
        <v>59</v>
      </c>
      <c r="D19" s="7" t="s">
        <v>78</v>
      </c>
      <c r="E19" s="5" t="s">
        <v>34</v>
      </c>
      <c r="F19" s="5">
        <v>1</v>
      </c>
      <c r="G19" s="5">
        <v>2</v>
      </c>
      <c r="H19" s="5">
        <v>8</v>
      </c>
    </row>
    <row r="20" spans="2:9" x14ac:dyDescent="0.25">
      <c r="B20" s="5">
        <v>10</v>
      </c>
      <c r="C20" s="7" t="s">
        <v>36</v>
      </c>
      <c r="D20" s="7" t="s">
        <v>36</v>
      </c>
      <c r="E20" s="5" t="s">
        <v>35</v>
      </c>
      <c r="F20" s="5">
        <v>1</v>
      </c>
      <c r="G20" s="5">
        <v>1</v>
      </c>
      <c r="H20" s="5"/>
    </row>
    <row r="21" spans="2:9" x14ac:dyDescent="0.25">
      <c r="B21" s="5">
        <v>11</v>
      </c>
      <c r="C21" s="7" t="s">
        <v>58</v>
      </c>
      <c r="D21" s="7" t="s">
        <v>38</v>
      </c>
      <c r="E21" s="5" t="s">
        <v>37</v>
      </c>
      <c r="F21" s="5">
        <v>1</v>
      </c>
      <c r="G21" s="5">
        <v>1</v>
      </c>
      <c r="H21" s="5"/>
    </row>
    <row r="22" spans="2:9" x14ac:dyDescent="0.25">
      <c r="B22" s="5">
        <v>12</v>
      </c>
      <c r="C22" s="7" t="s">
        <v>69</v>
      </c>
      <c r="D22" s="7" t="s">
        <v>79</v>
      </c>
      <c r="E22" s="5" t="s">
        <v>39</v>
      </c>
      <c r="F22" s="5">
        <v>1</v>
      </c>
      <c r="G22" s="5">
        <v>2</v>
      </c>
      <c r="H22" s="5">
        <v>11</v>
      </c>
    </row>
    <row r="23" spans="2:9" x14ac:dyDescent="0.25">
      <c r="B23" s="5">
        <v>13</v>
      </c>
      <c r="C23" s="7" t="s">
        <v>41</v>
      </c>
      <c r="D23" s="7" t="s">
        <v>83</v>
      </c>
      <c r="E23" s="5" t="s">
        <v>40</v>
      </c>
      <c r="F23" s="5">
        <v>1</v>
      </c>
      <c r="G23" s="5">
        <v>1</v>
      </c>
      <c r="H23" s="5"/>
    </row>
    <row r="24" spans="2:9" x14ac:dyDescent="0.25">
      <c r="B24" s="5">
        <v>14</v>
      </c>
      <c r="C24" s="7" t="s">
        <v>60</v>
      </c>
      <c r="D24" s="7" t="s">
        <v>85</v>
      </c>
      <c r="E24" s="5" t="s">
        <v>42</v>
      </c>
      <c r="F24" s="5">
        <v>1</v>
      </c>
      <c r="G24" s="5">
        <v>1</v>
      </c>
      <c r="H24" s="5"/>
    </row>
    <row r="25" spans="2:9" x14ac:dyDescent="0.25">
      <c r="B25" s="5">
        <v>15</v>
      </c>
      <c r="C25" s="7" t="s">
        <v>61</v>
      </c>
      <c r="D25" s="7" t="s">
        <v>88</v>
      </c>
      <c r="E25" s="5" t="s">
        <v>46</v>
      </c>
      <c r="F25" s="5">
        <v>1</v>
      </c>
      <c r="G25" s="5">
        <v>1</v>
      </c>
      <c r="H25" s="5"/>
    </row>
    <row r="26" spans="2:9" x14ac:dyDescent="0.25">
      <c r="B26" s="5">
        <v>16</v>
      </c>
      <c r="C26" s="7" t="s">
        <v>62</v>
      </c>
      <c r="D26" s="7" t="s">
        <v>87</v>
      </c>
      <c r="E26" s="5" t="s">
        <v>49</v>
      </c>
      <c r="F26" s="5">
        <v>1</v>
      </c>
      <c r="G26" s="5">
        <v>2</v>
      </c>
      <c r="H26" s="5">
        <v>1</v>
      </c>
    </row>
    <row r="27" spans="2:9" x14ac:dyDescent="0.25">
      <c r="B27" s="5">
        <v>17</v>
      </c>
      <c r="C27" s="7" t="s">
        <v>63</v>
      </c>
      <c r="D27" s="7" t="s">
        <v>305</v>
      </c>
      <c r="E27" s="5" t="s">
        <v>50</v>
      </c>
      <c r="F27" s="5">
        <v>1</v>
      </c>
      <c r="G27" s="5">
        <v>2</v>
      </c>
      <c r="H27" s="5">
        <v>2</v>
      </c>
    </row>
    <row r="28" spans="2:9" x14ac:dyDescent="0.25">
      <c r="B28" s="5">
        <v>18</v>
      </c>
      <c r="C28" s="7" t="s">
        <v>64</v>
      </c>
      <c r="D28" s="7" t="s">
        <v>93</v>
      </c>
      <c r="E28" s="5" t="s">
        <v>70</v>
      </c>
      <c r="F28" s="5">
        <v>1</v>
      </c>
      <c r="G28" s="5">
        <v>1</v>
      </c>
      <c r="H28" s="5"/>
    </row>
    <row r="29" spans="2:9" x14ac:dyDescent="0.25">
      <c r="B29" s="5">
        <v>19</v>
      </c>
      <c r="C29" s="7" t="s">
        <v>65</v>
      </c>
      <c r="D29" s="7" t="s">
        <v>82</v>
      </c>
      <c r="E29" s="5" t="s">
        <v>52</v>
      </c>
      <c r="F29" s="5">
        <v>1</v>
      </c>
      <c r="G29" s="5">
        <v>1</v>
      </c>
      <c r="H29" s="5"/>
    </row>
    <row r="30" spans="2:9" x14ac:dyDescent="0.25">
      <c r="B30" s="5">
        <v>20</v>
      </c>
      <c r="C30" s="7" t="s">
        <v>66</v>
      </c>
      <c r="D30" s="7" t="s">
        <v>92</v>
      </c>
      <c r="E30" s="5" t="s">
        <v>51</v>
      </c>
      <c r="F30" s="5">
        <v>1</v>
      </c>
      <c r="G30" s="5">
        <v>1</v>
      </c>
      <c r="H30" s="5"/>
      <c r="I30" s="9"/>
    </row>
    <row r="31" spans="2:9" x14ac:dyDescent="0.25">
      <c r="B31" s="5">
        <v>21</v>
      </c>
      <c r="C31" s="7" t="s">
        <v>31</v>
      </c>
      <c r="D31" s="7" t="s">
        <v>95</v>
      </c>
      <c r="E31" s="5" t="s">
        <v>30</v>
      </c>
      <c r="F31" s="5">
        <v>1</v>
      </c>
      <c r="G31" s="5">
        <v>1</v>
      </c>
      <c r="H31" s="5"/>
    </row>
    <row r="32" spans="2:9" x14ac:dyDescent="0.25">
      <c r="B32" s="5">
        <v>22</v>
      </c>
      <c r="C32" s="7" t="s">
        <v>67</v>
      </c>
      <c r="D32" s="7" t="s">
        <v>81</v>
      </c>
      <c r="E32" s="5" t="s">
        <v>48</v>
      </c>
      <c r="F32" s="5">
        <v>1</v>
      </c>
      <c r="G32" s="5">
        <v>2</v>
      </c>
      <c r="H32" s="5">
        <v>21</v>
      </c>
    </row>
    <row r="33" spans="2:8" x14ac:dyDescent="0.25">
      <c r="B33" s="5">
        <v>23</v>
      </c>
      <c r="C33" s="7" t="s">
        <v>53</v>
      </c>
      <c r="D33" s="7" t="s">
        <v>90</v>
      </c>
      <c r="E33" s="5" t="s">
        <v>71</v>
      </c>
      <c r="F33" s="5">
        <v>1</v>
      </c>
      <c r="G33" s="5">
        <v>1</v>
      </c>
      <c r="H33" s="5"/>
    </row>
    <row r="34" spans="2:8" x14ac:dyDescent="0.25">
      <c r="B34" s="5">
        <v>24</v>
      </c>
      <c r="C34" s="7" t="s">
        <v>68</v>
      </c>
      <c r="D34" s="7" t="s">
        <v>91</v>
      </c>
      <c r="E34" s="5" t="s">
        <v>72</v>
      </c>
      <c r="F34" s="5">
        <v>1</v>
      </c>
      <c r="G34" s="5">
        <v>1</v>
      </c>
      <c r="H34" s="5"/>
    </row>
    <row r="35" spans="2:8" x14ac:dyDescent="0.25">
      <c r="B35" s="5">
        <v>25</v>
      </c>
      <c r="C35" s="7" t="s">
        <v>297</v>
      </c>
      <c r="D35" s="7" t="s">
        <v>298</v>
      </c>
      <c r="E35" s="5" t="s">
        <v>306</v>
      </c>
      <c r="F35" s="5">
        <v>1</v>
      </c>
      <c r="G35" s="5">
        <v>2</v>
      </c>
      <c r="H35" s="5">
        <v>21</v>
      </c>
    </row>
    <row r="55" spans="5:5" x14ac:dyDescent="0.25">
      <c r="E55" s="1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DC48-6BEF-42DC-8DE8-1EBD6F268B83}">
  <dimension ref="A2:W75"/>
  <sheetViews>
    <sheetView topLeftCell="A40" zoomScaleNormal="100" workbookViewId="0">
      <selection activeCell="B39" sqref="B39:F72"/>
    </sheetView>
  </sheetViews>
  <sheetFormatPr defaultRowHeight="15" x14ac:dyDescent="0.25"/>
  <cols>
    <col min="1" max="1" width="2.42578125" customWidth="1"/>
    <col min="2" max="2" width="6.5703125" style="2" bestFit="1" customWidth="1"/>
    <col min="3" max="3" width="8.5703125" style="2" customWidth="1"/>
    <col min="4" max="4" width="30.7109375" style="11" customWidth="1"/>
    <col min="5" max="5" width="15.7109375" style="2" customWidth="1"/>
    <col min="6" max="6" width="30.85546875" bestFit="1" customWidth="1"/>
    <col min="7" max="7" width="2" customWidth="1"/>
    <col min="8" max="8" width="6.5703125" style="2" bestFit="1" customWidth="1"/>
    <col min="9" max="9" width="11" style="2" customWidth="1"/>
    <col min="10" max="10" width="30.85546875" bestFit="1" customWidth="1"/>
    <col min="11" max="11" width="12.7109375" style="2" customWidth="1"/>
    <col min="12" max="12" width="30.85546875" bestFit="1" customWidth="1"/>
    <col min="13" max="13" width="1.5703125" customWidth="1"/>
    <col min="14" max="14" width="6.5703125" style="2" bestFit="1" customWidth="1"/>
    <col min="15" max="15" width="9.28515625" style="2" customWidth="1"/>
    <col min="16" max="16" width="30.85546875" bestFit="1" customWidth="1"/>
    <col min="17" max="17" width="12.28515625" style="2" customWidth="1"/>
    <col min="18" max="18" width="30.85546875" bestFit="1" customWidth="1"/>
  </cols>
  <sheetData>
    <row r="2" spans="2:23" ht="18.75" x14ac:dyDescent="0.3">
      <c r="B2" s="30" t="s">
        <v>428</v>
      </c>
      <c r="C2" s="30"/>
      <c r="H2" s="30" t="s">
        <v>430</v>
      </c>
      <c r="I2" s="30"/>
      <c r="N2" s="30" t="s">
        <v>431</v>
      </c>
      <c r="O2" s="30"/>
    </row>
    <row r="3" spans="2:23" x14ac:dyDescent="0.25">
      <c r="B3" s="4" t="s">
        <v>73</v>
      </c>
      <c r="C3" s="4" t="s">
        <v>432</v>
      </c>
      <c r="D3" s="16" t="s">
        <v>75</v>
      </c>
      <c r="E3" s="4" t="s">
        <v>434</v>
      </c>
      <c r="F3" s="8" t="s">
        <v>433</v>
      </c>
      <c r="H3" s="4" t="s">
        <v>73</v>
      </c>
      <c r="I3" s="4" t="s">
        <v>432</v>
      </c>
      <c r="J3" s="8" t="s">
        <v>75</v>
      </c>
      <c r="K3" s="4" t="s">
        <v>434</v>
      </c>
      <c r="L3" s="8" t="s">
        <v>433</v>
      </c>
      <c r="N3" s="4" t="s">
        <v>73</v>
      </c>
      <c r="O3" s="4" t="s">
        <v>432</v>
      </c>
      <c r="P3" s="8" t="s">
        <v>75</v>
      </c>
      <c r="Q3" s="4" t="s">
        <v>434</v>
      </c>
      <c r="R3" s="8" t="s">
        <v>433</v>
      </c>
    </row>
    <row r="4" spans="2:23" x14ac:dyDescent="0.25">
      <c r="B4" s="5">
        <v>1</v>
      </c>
      <c r="C4" s="5">
        <v>216505</v>
      </c>
      <c r="D4" s="13" t="s">
        <v>371</v>
      </c>
      <c r="E4" s="31" t="s">
        <v>372</v>
      </c>
      <c r="F4" s="7" t="s">
        <v>371</v>
      </c>
      <c r="H4" s="5">
        <v>1</v>
      </c>
      <c r="I4" s="5">
        <v>216505</v>
      </c>
      <c r="J4" s="7" t="s">
        <v>371</v>
      </c>
      <c r="K4" s="5">
        <v>216505</v>
      </c>
      <c r="L4" s="7" t="s">
        <v>371</v>
      </c>
      <c r="N4" s="5">
        <v>1</v>
      </c>
      <c r="O4" s="5">
        <v>216505</v>
      </c>
      <c r="P4" s="7" t="s">
        <v>371</v>
      </c>
      <c r="Q4" s="5">
        <v>216505</v>
      </c>
      <c r="R4" s="7" t="s">
        <v>371</v>
      </c>
      <c r="W4" s="5">
        <v>134200</v>
      </c>
    </row>
    <row r="5" spans="2:23" x14ac:dyDescent="0.25">
      <c r="B5" s="5">
        <f>B4+1</f>
        <v>2</v>
      </c>
      <c r="C5" s="5">
        <v>420005</v>
      </c>
      <c r="D5" s="13" t="s">
        <v>373</v>
      </c>
      <c r="E5" s="31" t="s">
        <v>374</v>
      </c>
      <c r="F5" s="7" t="s">
        <v>373</v>
      </c>
      <c r="H5" s="5">
        <f>H4+1</f>
        <v>2</v>
      </c>
      <c r="I5" s="5">
        <v>420005</v>
      </c>
      <c r="J5" s="7" t="s">
        <v>373</v>
      </c>
      <c r="K5" s="5">
        <v>420005</v>
      </c>
      <c r="L5" s="7" t="s">
        <v>373</v>
      </c>
      <c r="N5" s="5">
        <f>N4+1</f>
        <v>2</v>
      </c>
      <c r="O5" s="5">
        <v>420005</v>
      </c>
      <c r="P5" s="7" t="s">
        <v>373</v>
      </c>
      <c r="Q5" s="5">
        <v>420005</v>
      </c>
      <c r="R5" s="7" t="s">
        <v>373</v>
      </c>
      <c r="W5" s="5">
        <v>140000</v>
      </c>
    </row>
    <row r="6" spans="2:23" x14ac:dyDescent="0.25">
      <c r="B6" s="5">
        <f t="shared" ref="B6:B35" si="0">B5+1</f>
        <v>3</v>
      </c>
      <c r="C6" s="5">
        <v>420100</v>
      </c>
      <c r="D6" s="13" t="s">
        <v>375</v>
      </c>
      <c r="E6" s="31" t="s">
        <v>376</v>
      </c>
      <c r="F6" s="7" t="s">
        <v>375</v>
      </c>
      <c r="H6" s="5">
        <f t="shared" ref="H6:H35" si="1">H5+1</f>
        <v>3</v>
      </c>
      <c r="I6" s="5">
        <v>420100</v>
      </c>
      <c r="J6" s="7" t="s">
        <v>375</v>
      </c>
      <c r="K6" s="5">
        <v>420100</v>
      </c>
      <c r="L6" s="7" t="s">
        <v>375</v>
      </c>
      <c r="N6" s="5">
        <f t="shared" ref="N6:N35" si="2">N5+1</f>
        <v>3</v>
      </c>
      <c r="O6" s="5">
        <v>420100</v>
      </c>
      <c r="P6" s="7" t="s">
        <v>375</v>
      </c>
      <c r="Q6" s="5">
        <v>420100</v>
      </c>
      <c r="R6" s="7" t="s">
        <v>375</v>
      </c>
      <c r="W6" s="5" t="s">
        <v>370</v>
      </c>
    </row>
    <row r="7" spans="2:23" x14ac:dyDescent="0.25">
      <c r="B7" s="5">
        <f t="shared" si="0"/>
        <v>4</v>
      </c>
      <c r="C7" s="5">
        <v>420420</v>
      </c>
      <c r="D7" s="13" t="s">
        <v>377</v>
      </c>
      <c r="E7" s="31" t="s">
        <v>378</v>
      </c>
      <c r="F7" s="7" t="s">
        <v>377</v>
      </c>
      <c r="H7" s="5">
        <f t="shared" si="1"/>
        <v>4</v>
      </c>
      <c r="I7" s="5">
        <v>420420</v>
      </c>
      <c r="J7" s="7" t="s">
        <v>429</v>
      </c>
      <c r="K7" s="5">
        <v>420420</v>
      </c>
      <c r="L7" s="7" t="s">
        <v>429</v>
      </c>
      <c r="N7" s="5">
        <f t="shared" si="2"/>
        <v>4</v>
      </c>
      <c r="O7" s="5">
        <v>420420</v>
      </c>
      <c r="P7" s="7" t="s">
        <v>429</v>
      </c>
      <c r="Q7" s="5">
        <v>420420</v>
      </c>
      <c r="R7" s="7" t="s">
        <v>429</v>
      </c>
      <c r="W7" s="5">
        <v>192020</v>
      </c>
    </row>
    <row r="8" spans="2:23" x14ac:dyDescent="0.25">
      <c r="B8" s="5">
        <f t="shared" si="0"/>
        <v>5</v>
      </c>
      <c r="C8" s="5">
        <v>420700</v>
      </c>
      <c r="D8" s="13" t="s">
        <v>379</v>
      </c>
      <c r="E8" s="31" t="s">
        <v>380</v>
      </c>
      <c r="F8" s="7" t="s">
        <v>379</v>
      </c>
      <c r="H8" s="5">
        <f t="shared" si="1"/>
        <v>5</v>
      </c>
      <c r="I8" s="5">
        <v>420700</v>
      </c>
      <c r="J8" s="7" t="s">
        <v>379</v>
      </c>
      <c r="K8" s="5">
        <v>420700</v>
      </c>
      <c r="L8" s="7" t="s">
        <v>379</v>
      </c>
      <c r="N8" s="5">
        <f t="shared" si="2"/>
        <v>5</v>
      </c>
      <c r="O8" s="5">
        <v>420700</v>
      </c>
      <c r="P8" s="7" t="s">
        <v>379</v>
      </c>
      <c r="Q8" s="5">
        <v>420700</v>
      </c>
      <c r="R8" s="7" t="s">
        <v>379</v>
      </c>
      <c r="W8" s="5">
        <v>192030</v>
      </c>
    </row>
    <row r="9" spans="2:23" x14ac:dyDescent="0.25">
      <c r="B9" s="5">
        <f t="shared" si="0"/>
        <v>6</v>
      </c>
      <c r="C9" s="5">
        <v>963300</v>
      </c>
      <c r="D9" s="13" t="s">
        <v>381</v>
      </c>
      <c r="E9" s="5">
        <v>9633001</v>
      </c>
      <c r="F9" s="7" t="s">
        <v>381</v>
      </c>
      <c r="H9" s="5">
        <f t="shared" si="1"/>
        <v>6</v>
      </c>
      <c r="I9" s="5">
        <v>963300</v>
      </c>
      <c r="J9" s="7" t="s">
        <v>381</v>
      </c>
      <c r="K9" s="5">
        <v>9633001</v>
      </c>
      <c r="L9" s="7" t="s">
        <v>381</v>
      </c>
      <c r="N9" s="5">
        <f t="shared" si="2"/>
        <v>6</v>
      </c>
      <c r="O9" s="5">
        <v>963300</v>
      </c>
      <c r="P9" s="7" t="s">
        <v>381</v>
      </c>
      <c r="Q9" s="5">
        <v>9633001</v>
      </c>
      <c r="R9" s="7" t="s">
        <v>381</v>
      </c>
      <c r="W9" s="5">
        <v>192101</v>
      </c>
    </row>
    <row r="10" spans="2:23" x14ac:dyDescent="0.25">
      <c r="B10" s="5">
        <f t="shared" si="0"/>
        <v>7</v>
      </c>
      <c r="C10" s="5" t="s">
        <v>318</v>
      </c>
      <c r="D10" s="13" t="s">
        <v>382</v>
      </c>
      <c r="E10" s="5"/>
      <c r="F10" s="7" t="s">
        <v>382</v>
      </c>
      <c r="H10" s="5">
        <f t="shared" si="1"/>
        <v>7</v>
      </c>
      <c r="I10" s="5" t="s">
        <v>318</v>
      </c>
      <c r="J10" s="7" t="s">
        <v>382</v>
      </c>
      <c r="K10" s="5"/>
      <c r="L10" s="7" t="s">
        <v>382</v>
      </c>
      <c r="N10" s="5">
        <f t="shared" si="2"/>
        <v>7</v>
      </c>
      <c r="O10" s="5" t="s">
        <v>318</v>
      </c>
      <c r="P10" s="7" t="s">
        <v>382</v>
      </c>
      <c r="Q10" s="5"/>
      <c r="R10" s="7" t="s">
        <v>382</v>
      </c>
      <c r="W10" s="5">
        <v>192102</v>
      </c>
    </row>
    <row r="11" spans="2:23" x14ac:dyDescent="0.25">
      <c r="B11" s="5">
        <f t="shared" si="0"/>
        <v>8</v>
      </c>
      <c r="C11" s="5" t="s">
        <v>309</v>
      </c>
      <c r="D11" s="13" t="s">
        <v>383</v>
      </c>
      <c r="E11" s="5" t="s">
        <v>384</v>
      </c>
      <c r="F11" s="7" t="s">
        <v>383</v>
      </c>
      <c r="H11" s="5">
        <f t="shared" si="1"/>
        <v>8</v>
      </c>
      <c r="I11" s="5" t="s">
        <v>309</v>
      </c>
      <c r="J11" s="7" t="s">
        <v>383</v>
      </c>
      <c r="K11" s="5" t="s">
        <v>384</v>
      </c>
      <c r="L11" s="7" t="s">
        <v>383</v>
      </c>
      <c r="N11" s="5">
        <f t="shared" si="2"/>
        <v>8</v>
      </c>
      <c r="O11" s="5" t="s">
        <v>309</v>
      </c>
      <c r="P11" s="7" t="s">
        <v>383</v>
      </c>
      <c r="Q11" s="5" t="s">
        <v>384</v>
      </c>
      <c r="R11" s="7" t="s">
        <v>383</v>
      </c>
      <c r="W11" s="5">
        <v>192103</v>
      </c>
    </row>
    <row r="12" spans="2:23" x14ac:dyDescent="0.25">
      <c r="B12" s="5">
        <f t="shared" si="0"/>
        <v>9</v>
      </c>
      <c r="C12" s="5" t="s">
        <v>310</v>
      </c>
      <c r="D12" s="13" t="s">
        <v>385</v>
      </c>
      <c r="E12" s="5" t="s">
        <v>386</v>
      </c>
      <c r="F12" s="7" t="s">
        <v>385</v>
      </c>
      <c r="H12" s="5">
        <f t="shared" si="1"/>
        <v>9</v>
      </c>
      <c r="I12" s="5" t="s">
        <v>310</v>
      </c>
      <c r="J12" s="7" t="s">
        <v>385</v>
      </c>
      <c r="K12" s="5" t="s">
        <v>386</v>
      </c>
      <c r="L12" s="7" t="s">
        <v>385</v>
      </c>
      <c r="N12" s="5">
        <f t="shared" si="2"/>
        <v>9</v>
      </c>
      <c r="O12" s="5" t="s">
        <v>310</v>
      </c>
      <c r="P12" s="7" t="s">
        <v>385</v>
      </c>
      <c r="Q12" s="5" t="s">
        <v>386</v>
      </c>
      <c r="R12" s="7" t="s">
        <v>385</v>
      </c>
      <c r="W12" s="5">
        <v>192107</v>
      </c>
    </row>
    <row r="13" spans="2:23" x14ac:dyDescent="0.25">
      <c r="B13" s="5">
        <f t="shared" si="0"/>
        <v>10</v>
      </c>
      <c r="C13" s="5" t="s">
        <v>329</v>
      </c>
      <c r="D13" s="13" t="s">
        <v>387</v>
      </c>
      <c r="E13" s="5" t="s">
        <v>388</v>
      </c>
      <c r="F13" s="7" t="s">
        <v>387</v>
      </c>
      <c r="H13" s="5">
        <f t="shared" si="1"/>
        <v>10</v>
      </c>
      <c r="I13" s="5" t="s">
        <v>329</v>
      </c>
      <c r="J13" s="7" t="s">
        <v>387</v>
      </c>
      <c r="K13" s="5" t="s">
        <v>388</v>
      </c>
      <c r="L13" s="7" t="s">
        <v>387</v>
      </c>
      <c r="N13" s="5">
        <f t="shared" si="2"/>
        <v>10</v>
      </c>
      <c r="O13" s="5" t="s">
        <v>329</v>
      </c>
      <c r="P13" s="7" t="s">
        <v>387</v>
      </c>
      <c r="Q13" s="5" t="s">
        <v>388</v>
      </c>
      <c r="R13" s="7" t="s">
        <v>387</v>
      </c>
      <c r="W13" s="5">
        <v>192200</v>
      </c>
    </row>
    <row r="14" spans="2:23" x14ac:dyDescent="0.25">
      <c r="B14" s="5">
        <f t="shared" si="0"/>
        <v>11</v>
      </c>
      <c r="C14" s="5" t="s">
        <v>330</v>
      </c>
      <c r="D14" s="13" t="s">
        <v>389</v>
      </c>
      <c r="E14" s="5" t="s">
        <v>390</v>
      </c>
      <c r="F14" s="7" t="s">
        <v>389</v>
      </c>
      <c r="H14" s="5">
        <f t="shared" si="1"/>
        <v>11</v>
      </c>
      <c r="I14" s="5" t="s">
        <v>330</v>
      </c>
      <c r="J14" s="7" t="s">
        <v>389</v>
      </c>
      <c r="K14" s="5" t="s">
        <v>390</v>
      </c>
      <c r="L14" s="7" t="s">
        <v>389</v>
      </c>
      <c r="N14" s="5">
        <f t="shared" si="2"/>
        <v>11</v>
      </c>
      <c r="O14" s="5" t="s">
        <v>330</v>
      </c>
      <c r="P14" s="7" t="s">
        <v>389</v>
      </c>
      <c r="Q14" s="5" t="s">
        <v>390</v>
      </c>
      <c r="R14" s="7" t="s">
        <v>389</v>
      </c>
      <c r="W14" s="5">
        <v>192401</v>
      </c>
    </row>
    <row r="15" spans="2:23" x14ac:dyDescent="0.25">
      <c r="B15" s="5">
        <f t="shared" si="0"/>
        <v>12</v>
      </c>
      <c r="C15" s="5" t="s">
        <v>332</v>
      </c>
      <c r="D15" s="13" t="s">
        <v>391</v>
      </c>
      <c r="E15" s="5" t="s">
        <v>392</v>
      </c>
      <c r="F15" s="7" t="s">
        <v>391</v>
      </c>
      <c r="H15" s="5">
        <f t="shared" si="1"/>
        <v>12</v>
      </c>
      <c r="I15" s="5" t="s">
        <v>332</v>
      </c>
      <c r="J15" s="7" t="s">
        <v>391</v>
      </c>
      <c r="K15" s="5" t="s">
        <v>392</v>
      </c>
      <c r="L15" s="7" t="s">
        <v>391</v>
      </c>
      <c r="N15" s="5">
        <f t="shared" si="2"/>
        <v>12</v>
      </c>
      <c r="O15" s="5" t="s">
        <v>332</v>
      </c>
      <c r="P15" s="7" t="s">
        <v>391</v>
      </c>
      <c r="Q15" s="5" t="s">
        <v>392</v>
      </c>
      <c r="R15" s="7" t="s">
        <v>391</v>
      </c>
      <c r="W15" s="5">
        <v>192402</v>
      </c>
    </row>
    <row r="16" spans="2:23" x14ac:dyDescent="0.25">
      <c r="B16" s="5">
        <f t="shared" si="0"/>
        <v>13</v>
      </c>
      <c r="C16" s="5" t="s">
        <v>331</v>
      </c>
      <c r="D16" s="13" t="s">
        <v>393</v>
      </c>
      <c r="E16" s="5" t="s">
        <v>394</v>
      </c>
      <c r="F16" s="7" t="s">
        <v>393</v>
      </c>
      <c r="H16" s="5">
        <f t="shared" si="1"/>
        <v>13</v>
      </c>
      <c r="I16" s="5" t="s">
        <v>331</v>
      </c>
      <c r="J16" s="7" t="s">
        <v>393</v>
      </c>
      <c r="K16" s="5" t="s">
        <v>394</v>
      </c>
      <c r="L16" s="7" t="s">
        <v>393</v>
      </c>
      <c r="N16" s="5">
        <f t="shared" si="2"/>
        <v>13</v>
      </c>
      <c r="O16" s="5" t="s">
        <v>331</v>
      </c>
      <c r="P16" s="7" t="s">
        <v>393</v>
      </c>
      <c r="Q16" s="5" t="s">
        <v>394</v>
      </c>
      <c r="R16" s="7" t="s">
        <v>393</v>
      </c>
      <c r="W16" s="5">
        <v>192403</v>
      </c>
    </row>
    <row r="17" spans="2:23" x14ac:dyDescent="0.25">
      <c r="B17" s="5">
        <f t="shared" si="0"/>
        <v>14</v>
      </c>
      <c r="C17" s="5" t="s">
        <v>370</v>
      </c>
      <c r="D17" s="13" t="s">
        <v>395</v>
      </c>
      <c r="E17" s="5" t="s">
        <v>396</v>
      </c>
      <c r="F17" s="7" t="s">
        <v>395</v>
      </c>
      <c r="H17" s="5">
        <f t="shared" si="1"/>
        <v>14</v>
      </c>
      <c r="I17" s="5" t="s">
        <v>370</v>
      </c>
      <c r="J17" s="7" t="s">
        <v>395</v>
      </c>
      <c r="K17" s="5" t="s">
        <v>396</v>
      </c>
      <c r="L17" s="7" t="s">
        <v>395</v>
      </c>
      <c r="N17" s="5">
        <f t="shared" si="2"/>
        <v>14</v>
      </c>
      <c r="O17" s="5" t="s">
        <v>370</v>
      </c>
      <c r="P17" s="7" t="s">
        <v>395</v>
      </c>
      <c r="Q17" s="5" t="s">
        <v>396</v>
      </c>
      <c r="R17" s="7" t="s">
        <v>395</v>
      </c>
      <c r="W17" s="5">
        <v>192407</v>
      </c>
    </row>
    <row r="18" spans="2:23" x14ac:dyDescent="0.25">
      <c r="B18" s="5">
        <f t="shared" si="0"/>
        <v>15</v>
      </c>
      <c r="C18" s="5" t="s">
        <v>315</v>
      </c>
      <c r="D18" s="13" t="s">
        <v>397</v>
      </c>
      <c r="E18" s="5" t="s">
        <v>398</v>
      </c>
      <c r="F18" s="7" t="s">
        <v>397</v>
      </c>
      <c r="H18" s="5">
        <f t="shared" si="1"/>
        <v>15</v>
      </c>
      <c r="I18" s="5" t="s">
        <v>315</v>
      </c>
      <c r="J18" s="7" t="s">
        <v>397</v>
      </c>
      <c r="K18" s="5" t="s">
        <v>398</v>
      </c>
      <c r="L18" s="7" t="s">
        <v>397</v>
      </c>
      <c r="N18" s="5">
        <f t="shared" si="2"/>
        <v>15</v>
      </c>
      <c r="O18" s="5" t="s">
        <v>315</v>
      </c>
      <c r="P18" s="7" t="s">
        <v>397</v>
      </c>
      <c r="Q18" s="5" t="s">
        <v>398</v>
      </c>
      <c r="R18" s="7" t="s">
        <v>397</v>
      </c>
      <c r="W18" s="5">
        <v>192500</v>
      </c>
    </row>
    <row r="19" spans="2:23" x14ac:dyDescent="0.25">
      <c r="B19" s="5">
        <f t="shared" si="0"/>
        <v>16</v>
      </c>
      <c r="C19" s="5" t="s">
        <v>316</v>
      </c>
      <c r="D19" s="13" t="s">
        <v>399</v>
      </c>
      <c r="E19" s="5" t="s">
        <v>400</v>
      </c>
      <c r="F19" s="7" t="s">
        <v>399</v>
      </c>
      <c r="H19" s="5">
        <f t="shared" si="1"/>
        <v>16</v>
      </c>
      <c r="I19" s="5" t="s">
        <v>316</v>
      </c>
      <c r="J19" s="7" t="s">
        <v>399</v>
      </c>
      <c r="K19" s="5" t="s">
        <v>400</v>
      </c>
      <c r="L19" s="7" t="s">
        <v>399</v>
      </c>
      <c r="N19" s="5">
        <f t="shared" si="2"/>
        <v>16</v>
      </c>
      <c r="O19" s="5" t="s">
        <v>316</v>
      </c>
      <c r="P19" s="7" t="s">
        <v>399</v>
      </c>
      <c r="Q19" s="5" t="s">
        <v>400</v>
      </c>
      <c r="R19" s="7" t="s">
        <v>399</v>
      </c>
      <c r="W19" s="5">
        <v>192600</v>
      </c>
    </row>
    <row r="20" spans="2:23" x14ac:dyDescent="0.25">
      <c r="B20" s="5">
        <f t="shared" si="0"/>
        <v>17</v>
      </c>
      <c r="C20" s="5">
        <v>134200</v>
      </c>
      <c r="D20" s="13" t="s">
        <v>401</v>
      </c>
      <c r="E20" s="5">
        <v>134200</v>
      </c>
      <c r="F20" s="7" t="s">
        <v>401</v>
      </c>
      <c r="H20" s="5">
        <f t="shared" si="1"/>
        <v>17</v>
      </c>
      <c r="I20" s="5">
        <v>134200</v>
      </c>
      <c r="J20" s="7" t="s">
        <v>401</v>
      </c>
      <c r="K20" s="5">
        <v>134200</v>
      </c>
      <c r="L20" s="7" t="s">
        <v>401</v>
      </c>
      <c r="N20" s="5">
        <f t="shared" si="2"/>
        <v>17</v>
      </c>
      <c r="O20" s="5">
        <v>134200</v>
      </c>
      <c r="P20" s="7" t="s">
        <v>401</v>
      </c>
      <c r="Q20" s="5">
        <v>134200</v>
      </c>
      <c r="R20" s="7" t="s">
        <v>401</v>
      </c>
      <c r="W20" s="5">
        <v>216505</v>
      </c>
    </row>
    <row r="21" spans="2:23" x14ac:dyDescent="0.25">
      <c r="B21" s="5">
        <f t="shared" si="0"/>
        <v>18</v>
      </c>
      <c r="C21" s="5">
        <v>500000</v>
      </c>
      <c r="D21" s="13" t="s">
        <v>385</v>
      </c>
      <c r="E21" s="5">
        <v>500000</v>
      </c>
      <c r="F21" s="7" t="s">
        <v>385</v>
      </c>
      <c r="H21" s="5">
        <f t="shared" si="1"/>
        <v>18</v>
      </c>
      <c r="I21" s="5">
        <v>500000</v>
      </c>
      <c r="J21" s="7" t="s">
        <v>385</v>
      </c>
      <c r="K21" s="5">
        <v>500000</v>
      </c>
      <c r="L21" s="7" t="s">
        <v>385</v>
      </c>
      <c r="N21" s="5">
        <f t="shared" si="2"/>
        <v>18</v>
      </c>
      <c r="O21" s="5">
        <v>500000</v>
      </c>
      <c r="P21" s="7" t="s">
        <v>385</v>
      </c>
      <c r="Q21" s="5">
        <v>500000</v>
      </c>
      <c r="R21" s="7" t="s">
        <v>385</v>
      </c>
      <c r="W21" s="5" t="s">
        <v>309</v>
      </c>
    </row>
    <row r="22" spans="2:23" x14ac:dyDescent="0.25">
      <c r="B22" s="5">
        <f t="shared" si="0"/>
        <v>19</v>
      </c>
      <c r="C22" s="5">
        <v>140000</v>
      </c>
      <c r="D22" s="13" t="s">
        <v>402</v>
      </c>
      <c r="E22" s="31" t="s">
        <v>403</v>
      </c>
      <c r="F22" s="7" t="s">
        <v>402</v>
      </c>
      <c r="H22" s="5">
        <f t="shared" si="1"/>
        <v>19</v>
      </c>
      <c r="I22" s="5">
        <v>140000</v>
      </c>
      <c r="J22" s="7" t="s">
        <v>402</v>
      </c>
      <c r="K22" s="5">
        <v>140000</v>
      </c>
      <c r="L22" s="7" t="s">
        <v>402</v>
      </c>
      <c r="N22" s="5">
        <f t="shared" si="2"/>
        <v>19</v>
      </c>
      <c r="O22" s="5">
        <v>140000</v>
      </c>
      <c r="P22" s="7" t="s">
        <v>402</v>
      </c>
      <c r="Q22" s="5">
        <v>140000</v>
      </c>
      <c r="R22" s="7" t="s">
        <v>402</v>
      </c>
      <c r="W22" s="5">
        <v>420005</v>
      </c>
    </row>
    <row r="23" spans="2:23" x14ac:dyDescent="0.25">
      <c r="B23" s="5">
        <f t="shared" si="0"/>
        <v>20</v>
      </c>
      <c r="C23" s="5">
        <v>192020</v>
      </c>
      <c r="D23" s="13" t="s">
        <v>404</v>
      </c>
      <c r="E23" s="31" t="s">
        <v>405</v>
      </c>
      <c r="F23" s="7" t="s">
        <v>404</v>
      </c>
      <c r="H23" s="5">
        <f t="shared" si="1"/>
        <v>20</v>
      </c>
      <c r="I23" s="5">
        <v>192020</v>
      </c>
      <c r="J23" s="7" t="s">
        <v>404</v>
      </c>
      <c r="K23" s="5">
        <v>192020</v>
      </c>
      <c r="L23" s="7" t="s">
        <v>404</v>
      </c>
      <c r="N23" s="5">
        <f t="shared" si="2"/>
        <v>20</v>
      </c>
      <c r="O23" s="5">
        <v>192020</v>
      </c>
      <c r="P23" s="7" t="s">
        <v>404</v>
      </c>
      <c r="Q23" s="5">
        <v>192020</v>
      </c>
      <c r="R23" s="7" t="s">
        <v>404</v>
      </c>
      <c r="W23" s="5">
        <v>420100</v>
      </c>
    </row>
    <row r="24" spans="2:23" x14ac:dyDescent="0.25">
      <c r="B24" s="5">
        <f t="shared" si="0"/>
        <v>21</v>
      </c>
      <c r="C24" s="5">
        <v>192030</v>
      </c>
      <c r="D24" s="13" t="s">
        <v>406</v>
      </c>
      <c r="E24" s="31" t="s">
        <v>407</v>
      </c>
      <c r="F24" s="7" t="s">
        <v>406</v>
      </c>
      <c r="H24" s="5">
        <f t="shared" si="1"/>
        <v>21</v>
      </c>
      <c r="I24" s="5">
        <v>192030</v>
      </c>
      <c r="J24" s="7" t="s">
        <v>406</v>
      </c>
      <c r="K24" s="5">
        <v>192030</v>
      </c>
      <c r="L24" s="7" t="s">
        <v>406</v>
      </c>
      <c r="N24" s="5">
        <f t="shared" si="2"/>
        <v>21</v>
      </c>
      <c r="O24" s="5">
        <v>192030</v>
      </c>
      <c r="P24" s="7" t="s">
        <v>406</v>
      </c>
      <c r="Q24" s="5">
        <v>192030</v>
      </c>
      <c r="R24" s="7" t="s">
        <v>406</v>
      </c>
      <c r="W24" s="5">
        <v>420420</v>
      </c>
    </row>
    <row r="25" spans="2:23" x14ac:dyDescent="0.25">
      <c r="B25" s="5">
        <f t="shared" si="0"/>
        <v>22</v>
      </c>
      <c r="C25" s="5">
        <v>192101</v>
      </c>
      <c r="D25" s="13" t="s">
        <v>408</v>
      </c>
      <c r="E25" s="31" t="s">
        <v>409</v>
      </c>
      <c r="F25" s="7" t="s">
        <v>408</v>
      </c>
      <c r="H25" s="5">
        <f t="shared" si="1"/>
        <v>22</v>
      </c>
      <c r="I25" s="5">
        <v>192101</v>
      </c>
      <c r="J25" s="7" t="s">
        <v>408</v>
      </c>
      <c r="K25" s="5">
        <v>192101</v>
      </c>
      <c r="L25" s="7" t="s">
        <v>408</v>
      </c>
      <c r="N25" s="5">
        <f t="shared" si="2"/>
        <v>22</v>
      </c>
      <c r="O25" s="5">
        <v>192101</v>
      </c>
      <c r="P25" s="7" t="s">
        <v>408</v>
      </c>
      <c r="Q25" s="5">
        <v>192101</v>
      </c>
      <c r="R25" s="7" t="s">
        <v>408</v>
      </c>
      <c r="W25" s="5">
        <v>420700</v>
      </c>
    </row>
    <row r="26" spans="2:23" x14ac:dyDescent="0.25">
      <c r="B26" s="5">
        <f t="shared" si="0"/>
        <v>23</v>
      </c>
      <c r="C26" s="5">
        <v>192102</v>
      </c>
      <c r="D26" s="13" t="s">
        <v>410</v>
      </c>
      <c r="E26" s="31">
        <v>2</v>
      </c>
      <c r="F26" s="7" t="s">
        <v>410</v>
      </c>
      <c r="H26" s="5">
        <f t="shared" si="1"/>
        <v>23</v>
      </c>
      <c r="I26" s="5">
        <v>192102</v>
      </c>
      <c r="J26" s="7" t="s">
        <v>410</v>
      </c>
      <c r="K26" s="5">
        <v>192102</v>
      </c>
      <c r="L26" s="7" t="s">
        <v>410</v>
      </c>
      <c r="N26" s="5">
        <f t="shared" si="2"/>
        <v>23</v>
      </c>
      <c r="O26" s="5">
        <v>192102</v>
      </c>
      <c r="P26" s="7" t="s">
        <v>410</v>
      </c>
      <c r="Q26" s="5">
        <v>192102</v>
      </c>
      <c r="R26" s="7" t="s">
        <v>410</v>
      </c>
      <c r="W26" s="5">
        <v>500000</v>
      </c>
    </row>
    <row r="27" spans="2:23" x14ac:dyDescent="0.25">
      <c r="B27" s="5">
        <f t="shared" si="0"/>
        <v>24</v>
      </c>
      <c r="C27" s="5">
        <v>192103</v>
      </c>
      <c r="D27" s="13" t="s">
        <v>411</v>
      </c>
      <c r="E27" s="31" t="s">
        <v>412</v>
      </c>
      <c r="F27" s="7" t="s">
        <v>411</v>
      </c>
      <c r="H27" s="5">
        <f t="shared" si="1"/>
        <v>24</v>
      </c>
      <c r="I27" s="5">
        <v>192103</v>
      </c>
      <c r="J27" s="7" t="s">
        <v>411</v>
      </c>
      <c r="K27" s="5">
        <v>192103</v>
      </c>
      <c r="L27" s="7" t="s">
        <v>411</v>
      </c>
      <c r="N27" s="5">
        <f t="shared" si="2"/>
        <v>24</v>
      </c>
      <c r="O27" s="5">
        <v>192103</v>
      </c>
      <c r="P27" s="7" t="s">
        <v>411</v>
      </c>
      <c r="Q27" s="5">
        <v>192103</v>
      </c>
      <c r="R27" s="7" t="s">
        <v>411</v>
      </c>
      <c r="W27" s="5" t="s">
        <v>316</v>
      </c>
    </row>
    <row r="28" spans="2:23" x14ac:dyDescent="0.25">
      <c r="B28" s="5">
        <f t="shared" si="0"/>
        <v>25</v>
      </c>
      <c r="C28" s="5">
        <v>192107</v>
      </c>
      <c r="D28" s="13" t="s">
        <v>413</v>
      </c>
      <c r="E28" s="31" t="s">
        <v>414</v>
      </c>
      <c r="F28" s="7" t="s">
        <v>413</v>
      </c>
      <c r="H28" s="5">
        <f t="shared" si="1"/>
        <v>25</v>
      </c>
      <c r="I28" s="5">
        <v>192107</v>
      </c>
      <c r="J28" s="7" t="s">
        <v>413</v>
      </c>
      <c r="K28" s="5">
        <v>192107</v>
      </c>
      <c r="L28" s="7" t="s">
        <v>413</v>
      </c>
      <c r="N28" s="5">
        <f t="shared" si="2"/>
        <v>25</v>
      </c>
      <c r="O28" s="5">
        <v>192107</v>
      </c>
      <c r="P28" s="7" t="s">
        <v>413</v>
      </c>
      <c r="Q28" s="5">
        <v>192107</v>
      </c>
      <c r="R28" s="7" t="s">
        <v>413</v>
      </c>
      <c r="W28" s="5" t="s">
        <v>318</v>
      </c>
    </row>
    <row r="29" spans="2:23" x14ac:dyDescent="0.25">
      <c r="B29" s="5">
        <f t="shared" si="0"/>
        <v>26</v>
      </c>
      <c r="C29" s="5">
        <v>192200</v>
      </c>
      <c r="D29" s="13" t="s">
        <v>415</v>
      </c>
      <c r="E29" s="31" t="s">
        <v>416</v>
      </c>
      <c r="F29" s="7" t="s">
        <v>415</v>
      </c>
      <c r="H29" s="5">
        <f t="shared" si="1"/>
        <v>26</v>
      </c>
      <c r="I29" s="5">
        <v>192200</v>
      </c>
      <c r="J29" s="7" t="s">
        <v>415</v>
      </c>
      <c r="K29" s="5">
        <v>192200</v>
      </c>
      <c r="L29" s="7" t="s">
        <v>415</v>
      </c>
      <c r="N29" s="5">
        <f t="shared" si="2"/>
        <v>26</v>
      </c>
      <c r="O29" s="5">
        <v>192200</v>
      </c>
      <c r="P29" s="7" t="s">
        <v>415</v>
      </c>
      <c r="Q29" s="5">
        <v>192200</v>
      </c>
      <c r="R29" s="7" t="s">
        <v>415</v>
      </c>
      <c r="W29" s="5" t="s">
        <v>330</v>
      </c>
    </row>
    <row r="30" spans="2:23" x14ac:dyDescent="0.25">
      <c r="B30" s="5">
        <f t="shared" si="0"/>
        <v>27</v>
      </c>
      <c r="C30" s="5">
        <v>192401</v>
      </c>
      <c r="D30" s="13" t="s">
        <v>417</v>
      </c>
      <c r="E30" s="31" t="s">
        <v>418</v>
      </c>
      <c r="F30" s="7" t="s">
        <v>417</v>
      </c>
      <c r="H30" s="5">
        <f t="shared" si="1"/>
        <v>27</v>
      </c>
      <c r="I30" s="5">
        <v>192401</v>
      </c>
      <c r="J30" s="7" t="s">
        <v>417</v>
      </c>
      <c r="K30" s="5">
        <v>192401</v>
      </c>
      <c r="L30" s="7" t="s">
        <v>417</v>
      </c>
      <c r="N30" s="5">
        <f t="shared" si="2"/>
        <v>27</v>
      </c>
      <c r="O30" s="5">
        <v>192401</v>
      </c>
      <c r="P30" s="7" t="s">
        <v>417</v>
      </c>
      <c r="Q30" s="5">
        <v>192401</v>
      </c>
      <c r="R30" s="7" t="s">
        <v>417</v>
      </c>
      <c r="W30" s="5" t="s">
        <v>331</v>
      </c>
    </row>
    <row r="31" spans="2:23" x14ac:dyDescent="0.25">
      <c r="B31" s="5">
        <f t="shared" si="0"/>
        <v>28</v>
      </c>
      <c r="C31" s="5">
        <v>192402</v>
      </c>
      <c r="D31" s="13" t="s">
        <v>419</v>
      </c>
      <c r="E31" s="5">
        <v>2</v>
      </c>
      <c r="F31" s="7" t="s">
        <v>419</v>
      </c>
      <c r="H31" s="5">
        <f t="shared" si="1"/>
        <v>28</v>
      </c>
      <c r="I31" s="5">
        <v>192402</v>
      </c>
      <c r="J31" s="7" t="s">
        <v>419</v>
      </c>
      <c r="K31" s="5">
        <v>2</v>
      </c>
      <c r="L31" s="7" t="s">
        <v>419</v>
      </c>
      <c r="N31" s="5">
        <f t="shared" si="2"/>
        <v>28</v>
      </c>
      <c r="O31" s="5">
        <v>192402</v>
      </c>
      <c r="P31" s="7" t="s">
        <v>419</v>
      </c>
      <c r="Q31" s="5">
        <v>2</v>
      </c>
      <c r="R31" s="7" t="s">
        <v>419</v>
      </c>
      <c r="W31" s="5" t="s">
        <v>315</v>
      </c>
    </row>
    <row r="32" spans="2:23" x14ac:dyDescent="0.25">
      <c r="B32" s="5">
        <f t="shared" si="0"/>
        <v>29</v>
      </c>
      <c r="C32" s="5">
        <v>192403</v>
      </c>
      <c r="D32" s="13" t="s">
        <v>420</v>
      </c>
      <c r="E32" s="31" t="s">
        <v>421</v>
      </c>
      <c r="F32" s="7" t="s">
        <v>420</v>
      </c>
      <c r="H32" s="5">
        <f t="shared" si="1"/>
        <v>29</v>
      </c>
      <c r="I32" s="5">
        <v>192403</v>
      </c>
      <c r="J32" s="7" t="s">
        <v>420</v>
      </c>
      <c r="K32" s="5">
        <v>192403</v>
      </c>
      <c r="L32" s="7" t="s">
        <v>420</v>
      </c>
      <c r="N32" s="5">
        <f t="shared" si="2"/>
        <v>29</v>
      </c>
      <c r="O32" s="5">
        <v>192403</v>
      </c>
      <c r="P32" s="7" t="s">
        <v>420</v>
      </c>
      <c r="Q32" s="5">
        <v>192403</v>
      </c>
      <c r="R32" s="7" t="s">
        <v>420</v>
      </c>
      <c r="W32" s="5" t="s">
        <v>310</v>
      </c>
    </row>
    <row r="33" spans="1:23" x14ac:dyDescent="0.25">
      <c r="B33" s="5">
        <f t="shared" si="0"/>
        <v>30</v>
      </c>
      <c r="C33" s="5">
        <v>192407</v>
      </c>
      <c r="D33" s="13" t="s">
        <v>422</v>
      </c>
      <c r="E33" s="31" t="s">
        <v>423</v>
      </c>
      <c r="F33" s="7" t="s">
        <v>422</v>
      </c>
      <c r="H33" s="5">
        <f t="shared" si="1"/>
        <v>30</v>
      </c>
      <c r="I33" s="5">
        <v>192407</v>
      </c>
      <c r="J33" s="7" t="s">
        <v>422</v>
      </c>
      <c r="K33" s="5">
        <v>192407</v>
      </c>
      <c r="L33" s="7" t="s">
        <v>422</v>
      </c>
      <c r="N33" s="5">
        <f t="shared" si="2"/>
        <v>30</v>
      </c>
      <c r="O33" s="5">
        <v>192407</v>
      </c>
      <c r="P33" s="7" t="s">
        <v>422</v>
      </c>
      <c r="Q33" s="5">
        <v>192407</v>
      </c>
      <c r="R33" s="7" t="s">
        <v>422</v>
      </c>
      <c r="W33" s="5" t="s">
        <v>329</v>
      </c>
    </row>
    <row r="34" spans="1:23" x14ac:dyDescent="0.25">
      <c r="B34" s="5">
        <f t="shared" si="0"/>
        <v>31</v>
      </c>
      <c r="C34" s="5">
        <v>192500</v>
      </c>
      <c r="D34" s="13" t="s">
        <v>424</v>
      </c>
      <c r="E34" s="31" t="s">
        <v>425</v>
      </c>
      <c r="F34" s="7" t="s">
        <v>424</v>
      </c>
      <c r="H34" s="5">
        <f t="shared" si="1"/>
        <v>31</v>
      </c>
      <c r="I34" s="5">
        <v>192500</v>
      </c>
      <c r="J34" s="7" t="s">
        <v>424</v>
      </c>
      <c r="K34" s="5">
        <v>192500</v>
      </c>
      <c r="L34" s="7" t="s">
        <v>424</v>
      </c>
      <c r="N34" s="5">
        <f t="shared" si="2"/>
        <v>31</v>
      </c>
      <c r="O34" s="5">
        <v>192500</v>
      </c>
      <c r="P34" s="7" t="s">
        <v>424</v>
      </c>
      <c r="Q34" s="5">
        <v>192500</v>
      </c>
      <c r="R34" s="7" t="s">
        <v>424</v>
      </c>
      <c r="W34" s="5" t="s">
        <v>332</v>
      </c>
    </row>
    <row r="35" spans="1:23" x14ac:dyDescent="0.25">
      <c r="B35" s="5">
        <f t="shared" si="0"/>
        <v>32</v>
      </c>
      <c r="C35" s="5">
        <v>192600</v>
      </c>
      <c r="D35" s="13" t="s">
        <v>426</v>
      </c>
      <c r="E35" s="31" t="s">
        <v>427</v>
      </c>
      <c r="F35" s="7" t="s">
        <v>426</v>
      </c>
      <c r="H35" s="5">
        <f t="shared" si="1"/>
        <v>32</v>
      </c>
      <c r="I35" s="5">
        <v>192600</v>
      </c>
      <c r="J35" s="7" t="s">
        <v>426</v>
      </c>
      <c r="K35" s="5">
        <v>192600</v>
      </c>
      <c r="L35" s="7" t="s">
        <v>426</v>
      </c>
      <c r="N35" s="5">
        <f t="shared" si="2"/>
        <v>32</v>
      </c>
      <c r="O35" s="5">
        <v>192600</v>
      </c>
      <c r="P35" s="7" t="s">
        <v>426</v>
      </c>
      <c r="Q35" s="5">
        <v>192600</v>
      </c>
      <c r="R35" s="7" t="s">
        <v>426</v>
      </c>
      <c r="W35" s="5">
        <v>963300</v>
      </c>
    </row>
    <row r="37" spans="1:23" ht="18.75" x14ac:dyDescent="0.3">
      <c r="A37" s="29"/>
      <c r="B37" s="30"/>
    </row>
    <row r="38" spans="1:23" x14ac:dyDescent="0.25">
      <c r="A38" s="2"/>
      <c r="D38" s="2"/>
      <c r="F38" s="2"/>
      <c r="G38" s="2"/>
      <c r="J38" s="2"/>
      <c r="L38" s="2"/>
      <c r="M38" s="2"/>
      <c r="P38" s="2"/>
      <c r="R38" s="2"/>
    </row>
    <row r="39" spans="1:23" ht="21" x14ac:dyDescent="0.35">
      <c r="A39" s="2"/>
      <c r="B39" s="32" t="s">
        <v>463</v>
      </c>
      <c r="D39" s="2"/>
      <c r="F39" s="2"/>
      <c r="G39" s="2"/>
      <c r="J39" s="2"/>
      <c r="L39" s="2"/>
      <c r="M39" s="2"/>
      <c r="P39" s="2"/>
      <c r="R39" s="2"/>
    </row>
    <row r="40" spans="1:23" x14ac:dyDescent="0.25">
      <c r="A40" s="2"/>
      <c r="B40" s="4" t="s">
        <v>73</v>
      </c>
      <c r="C40" s="4" t="s">
        <v>432</v>
      </c>
      <c r="D40" s="8" t="s">
        <v>75</v>
      </c>
      <c r="E40" s="4" t="s">
        <v>434</v>
      </c>
      <c r="F40" s="8" t="s">
        <v>433</v>
      </c>
      <c r="G40" s="2"/>
      <c r="J40" s="2"/>
      <c r="L40" s="2"/>
      <c r="M40" s="2"/>
      <c r="P40" s="2"/>
      <c r="R40" s="2"/>
    </row>
    <row r="41" spans="1:23" x14ac:dyDescent="0.25">
      <c r="A41" s="2"/>
      <c r="B41" s="5">
        <v>1</v>
      </c>
      <c r="C41" s="5">
        <v>216505</v>
      </c>
      <c r="D41" s="7" t="s">
        <v>371</v>
      </c>
      <c r="E41" s="5">
        <v>216505</v>
      </c>
      <c r="F41" s="7" t="s">
        <v>371</v>
      </c>
      <c r="G41" s="2"/>
      <c r="J41" s="2"/>
      <c r="L41" s="2"/>
      <c r="M41" s="2"/>
      <c r="P41" s="2"/>
      <c r="R41" s="2"/>
    </row>
    <row r="42" spans="1:23" x14ac:dyDescent="0.25">
      <c r="A42" s="2"/>
      <c r="B42" s="5">
        <f>B41+1</f>
        <v>2</v>
      </c>
      <c r="C42" s="5">
        <v>420005</v>
      </c>
      <c r="D42" s="7" t="s">
        <v>373</v>
      </c>
      <c r="E42" s="5">
        <v>420005</v>
      </c>
      <c r="F42" s="7" t="s">
        <v>373</v>
      </c>
      <c r="G42" s="2"/>
      <c r="J42" s="2"/>
      <c r="L42" s="2"/>
      <c r="M42" s="2"/>
      <c r="P42" s="2"/>
      <c r="R42" s="2"/>
    </row>
    <row r="43" spans="1:23" x14ac:dyDescent="0.25">
      <c r="A43" s="2"/>
      <c r="B43" s="5">
        <f t="shared" ref="B43:B72" si="3">B42+1</f>
        <v>3</v>
      </c>
      <c r="C43" s="5">
        <v>420100</v>
      </c>
      <c r="D43" s="7" t="s">
        <v>375</v>
      </c>
      <c r="E43" s="5">
        <v>420100</v>
      </c>
      <c r="F43" s="7" t="s">
        <v>375</v>
      </c>
      <c r="G43" s="2"/>
      <c r="J43" s="2"/>
      <c r="L43" s="2"/>
      <c r="M43" s="2"/>
      <c r="P43" s="2"/>
      <c r="R43" s="2"/>
    </row>
    <row r="44" spans="1:23" x14ac:dyDescent="0.25">
      <c r="A44" s="2"/>
      <c r="B44" s="5">
        <f t="shared" si="3"/>
        <v>4</v>
      </c>
      <c r="C44" s="5">
        <v>420420</v>
      </c>
      <c r="D44" s="7" t="s">
        <v>429</v>
      </c>
      <c r="E44" s="5">
        <v>420420</v>
      </c>
      <c r="F44" s="7" t="s">
        <v>429</v>
      </c>
      <c r="G44" s="2"/>
      <c r="J44" s="2"/>
      <c r="L44" s="2"/>
      <c r="M44" s="2"/>
      <c r="P44" s="2"/>
      <c r="R44" s="2"/>
    </row>
    <row r="45" spans="1:23" x14ac:dyDescent="0.25">
      <c r="A45" s="2"/>
      <c r="B45" s="5">
        <f t="shared" si="3"/>
        <v>5</v>
      </c>
      <c r="C45" s="5">
        <v>420700</v>
      </c>
      <c r="D45" s="7" t="s">
        <v>379</v>
      </c>
      <c r="E45" s="5">
        <v>420700</v>
      </c>
      <c r="F45" s="7" t="s">
        <v>379</v>
      </c>
      <c r="G45" s="2"/>
      <c r="J45" s="2"/>
      <c r="L45" s="2"/>
      <c r="M45" s="2"/>
      <c r="P45" s="2"/>
      <c r="R45" s="2"/>
    </row>
    <row r="46" spans="1:23" x14ac:dyDescent="0.25">
      <c r="A46" s="2"/>
      <c r="B46" s="5">
        <f t="shared" si="3"/>
        <v>6</v>
      </c>
      <c r="C46" s="5">
        <v>963300</v>
      </c>
      <c r="D46" s="7" t="s">
        <v>381</v>
      </c>
      <c r="E46" s="5">
        <v>9633001</v>
      </c>
      <c r="F46" s="7" t="s">
        <v>381</v>
      </c>
      <c r="G46" s="2"/>
      <c r="J46" s="2"/>
      <c r="L46" s="2"/>
      <c r="M46" s="2"/>
      <c r="P46" s="2"/>
      <c r="R46" s="2"/>
    </row>
    <row r="47" spans="1:23" x14ac:dyDescent="0.25">
      <c r="A47" s="2"/>
      <c r="B47" s="5">
        <f t="shared" si="3"/>
        <v>7</v>
      </c>
      <c r="C47" s="5" t="s">
        <v>318</v>
      </c>
      <c r="D47" s="7" t="s">
        <v>382</v>
      </c>
      <c r="E47" s="5"/>
      <c r="F47" s="7" t="s">
        <v>382</v>
      </c>
      <c r="G47" s="2"/>
      <c r="J47" s="2"/>
      <c r="L47" s="2"/>
      <c r="M47" s="2"/>
      <c r="P47" s="2"/>
      <c r="R47" s="2"/>
    </row>
    <row r="48" spans="1:23" x14ac:dyDescent="0.25">
      <c r="A48" s="2"/>
      <c r="B48" s="5">
        <f t="shared" si="3"/>
        <v>8</v>
      </c>
      <c r="C48" s="5" t="s">
        <v>309</v>
      </c>
      <c r="D48" s="7" t="s">
        <v>383</v>
      </c>
      <c r="E48" s="5" t="s">
        <v>384</v>
      </c>
      <c r="F48" s="7" t="s">
        <v>383</v>
      </c>
      <c r="G48" s="2"/>
      <c r="J48" s="2"/>
      <c r="L48" s="2"/>
      <c r="M48" s="2"/>
      <c r="P48" s="2"/>
      <c r="R48" s="2"/>
    </row>
    <row r="49" spans="1:18" x14ac:dyDescent="0.25">
      <c r="A49" s="2"/>
      <c r="B49" s="5">
        <f t="shared" si="3"/>
        <v>9</v>
      </c>
      <c r="C49" s="5" t="s">
        <v>310</v>
      </c>
      <c r="D49" s="7" t="s">
        <v>385</v>
      </c>
      <c r="E49" s="5" t="s">
        <v>386</v>
      </c>
      <c r="F49" s="7" t="s">
        <v>385</v>
      </c>
      <c r="G49" s="2"/>
      <c r="J49" s="2"/>
      <c r="L49" s="2"/>
      <c r="M49" s="2"/>
      <c r="P49" s="2"/>
      <c r="R49" s="2"/>
    </row>
    <row r="50" spans="1:18" x14ac:dyDescent="0.25">
      <c r="A50" s="2"/>
      <c r="B50" s="5">
        <f t="shared" si="3"/>
        <v>10</v>
      </c>
      <c r="C50" s="5" t="s">
        <v>329</v>
      </c>
      <c r="D50" s="7" t="s">
        <v>387</v>
      </c>
      <c r="E50" s="5" t="s">
        <v>388</v>
      </c>
      <c r="F50" s="7" t="s">
        <v>387</v>
      </c>
      <c r="G50" s="2"/>
      <c r="J50" s="2"/>
      <c r="L50" s="2"/>
      <c r="M50" s="2"/>
      <c r="P50" s="2"/>
      <c r="R50" s="2"/>
    </row>
    <row r="51" spans="1:18" x14ac:dyDescent="0.25">
      <c r="A51" s="2"/>
      <c r="B51" s="5">
        <f t="shared" si="3"/>
        <v>11</v>
      </c>
      <c r="C51" s="5" t="s">
        <v>330</v>
      </c>
      <c r="D51" s="7" t="s">
        <v>389</v>
      </c>
      <c r="E51" s="5" t="s">
        <v>390</v>
      </c>
      <c r="F51" s="7" t="s">
        <v>389</v>
      </c>
      <c r="G51" s="2"/>
      <c r="J51" s="2"/>
      <c r="L51" s="2"/>
      <c r="M51" s="2"/>
      <c r="P51" s="2"/>
      <c r="R51" s="2"/>
    </row>
    <row r="52" spans="1:18" x14ac:dyDescent="0.25">
      <c r="A52" s="2"/>
      <c r="B52" s="5">
        <f t="shared" si="3"/>
        <v>12</v>
      </c>
      <c r="C52" s="5" t="s">
        <v>332</v>
      </c>
      <c r="D52" s="7" t="s">
        <v>391</v>
      </c>
      <c r="E52" s="5" t="s">
        <v>392</v>
      </c>
      <c r="F52" s="7" t="s">
        <v>391</v>
      </c>
      <c r="G52" s="2"/>
      <c r="J52" s="2"/>
      <c r="L52" s="2"/>
      <c r="M52" s="2"/>
      <c r="P52" s="2"/>
      <c r="R52" s="2"/>
    </row>
    <row r="53" spans="1:18" x14ac:dyDescent="0.25">
      <c r="A53" s="2"/>
      <c r="B53" s="5">
        <f t="shared" si="3"/>
        <v>13</v>
      </c>
      <c r="C53" s="5" t="s">
        <v>331</v>
      </c>
      <c r="D53" s="7" t="s">
        <v>393</v>
      </c>
      <c r="E53" s="5" t="s">
        <v>394</v>
      </c>
      <c r="F53" s="7" t="s">
        <v>393</v>
      </c>
      <c r="G53" s="2"/>
      <c r="J53" s="2"/>
      <c r="L53" s="2"/>
      <c r="M53" s="2"/>
      <c r="P53" s="2"/>
      <c r="R53" s="2"/>
    </row>
    <row r="54" spans="1:18" x14ac:dyDescent="0.25">
      <c r="A54" s="2"/>
      <c r="B54" s="5">
        <f t="shared" si="3"/>
        <v>14</v>
      </c>
      <c r="C54" s="5" t="s">
        <v>370</v>
      </c>
      <c r="D54" s="7" t="s">
        <v>395</v>
      </c>
      <c r="E54" s="5" t="s">
        <v>396</v>
      </c>
      <c r="F54" s="7" t="s">
        <v>395</v>
      </c>
      <c r="G54" s="2"/>
      <c r="J54" s="2"/>
      <c r="L54" s="2"/>
      <c r="M54" s="2"/>
      <c r="P54" s="2"/>
      <c r="R54" s="2"/>
    </row>
    <row r="55" spans="1:18" x14ac:dyDescent="0.25">
      <c r="A55" s="2"/>
      <c r="B55" s="5">
        <f t="shared" si="3"/>
        <v>15</v>
      </c>
      <c r="C55" s="5" t="s">
        <v>315</v>
      </c>
      <c r="D55" s="7" t="s">
        <v>397</v>
      </c>
      <c r="E55" s="5" t="s">
        <v>398</v>
      </c>
      <c r="F55" s="7" t="s">
        <v>397</v>
      </c>
      <c r="G55" s="2"/>
      <c r="J55" s="2"/>
      <c r="L55" s="2"/>
      <c r="M55" s="2"/>
      <c r="P55" s="2"/>
      <c r="R55" s="2"/>
    </row>
    <row r="56" spans="1:18" x14ac:dyDescent="0.25">
      <c r="A56" s="2"/>
      <c r="B56" s="5">
        <f t="shared" si="3"/>
        <v>16</v>
      </c>
      <c r="C56" s="5" t="s">
        <v>316</v>
      </c>
      <c r="D56" s="7" t="s">
        <v>399</v>
      </c>
      <c r="E56" s="5" t="s">
        <v>400</v>
      </c>
      <c r="F56" s="7" t="s">
        <v>399</v>
      </c>
      <c r="G56" s="2"/>
      <c r="J56" s="2"/>
      <c r="L56" s="2"/>
      <c r="M56" s="2"/>
      <c r="P56" s="2"/>
      <c r="R56" s="2"/>
    </row>
    <row r="57" spans="1:18" x14ac:dyDescent="0.25">
      <c r="A57" s="2"/>
      <c r="B57" s="5">
        <f t="shared" si="3"/>
        <v>17</v>
      </c>
      <c r="C57" s="5">
        <v>134200</v>
      </c>
      <c r="D57" s="7" t="s">
        <v>401</v>
      </c>
      <c r="E57" s="5">
        <v>134200</v>
      </c>
      <c r="F57" s="7" t="s">
        <v>401</v>
      </c>
      <c r="G57" s="2"/>
      <c r="J57" s="2"/>
      <c r="L57" s="2"/>
      <c r="M57" s="2"/>
      <c r="P57" s="2"/>
      <c r="R57" s="2"/>
    </row>
    <row r="58" spans="1:18" x14ac:dyDescent="0.25">
      <c r="A58" s="2"/>
      <c r="B58" s="5">
        <f t="shared" si="3"/>
        <v>18</v>
      </c>
      <c r="C58" s="5">
        <v>500000</v>
      </c>
      <c r="D58" s="7" t="s">
        <v>385</v>
      </c>
      <c r="E58" s="5">
        <v>500000</v>
      </c>
      <c r="F58" s="7" t="s">
        <v>385</v>
      </c>
      <c r="G58" s="2"/>
      <c r="J58" s="2"/>
      <c r="L58" s="2"/>
      <c r="M58" s="2"/>
      <c r="P58" s="2"/>
      <c r="R58" s="2"/>
    </row>
    <row r="59" spans="1:18" x14ac:dyDescent="0.25">
      <c r="A59" s="2"/>
      <c r="B59" s="5">
        <f t="shared" si="3"/>
        <v>19</v>
      </c>
      <c r="C59" s="5">
        <v>140000</v>
      </c>
      <c r="D59" s="7" t="s">
        <v>402</v>
      </c>
      <c r="E59" s="5">
        <v>140000</v>
      </c>
      <c r="F59" s="7" t="s">
        <v>402</v>
      </c>
      <c r="G59" s="2"/>
      <c r="J59" s="2"/>
      <c r="L59" s="2"/>
      <c r="M59" s="2"/>
      <c r="P59" s="2"/>
      <c r="R59" s="2"/>
    </row>
    <row r="60" spans="1:18" x14ac:dyDescent="0.25">
      <c r="A60" s="2"/>
      <c r="B60" s="5">
        <f t="shared" si="3"/>
        <v>20</v>
      </c>
      <c r="C60" s="5">
        <v>192020</v>
      </c>
      <c r="D60" s="7" t="s">
        <v>404</v>
      </c>
      <c r="E60" s="5">
        <v>192020</v>
      </c>
      <c r="F60" s="7" t="s">
        <v>404</v>
      </c>
      <c r="G60" s="2"/>
      <c r="J60" s="2"/>
      <c r="L60" s="2"/>
      <c r="M60" s="2"/>
      <c r="P60" s="2"/>
      <c r="R60" s="2"/>
    </row>
    <row r="61" spans="1:18" x14ac:dyDescent="0.25">
      <c r="A61" s="2"/>
      <c r="B61" s="5">
        <f t="shared" si="3"/>
        <v>21</v>
      </c>
      <c r="C61" s="5">
        <v>192030</v>
      </c>
      <c r="D61" s="7" t="s">
        <v>406</v>
      </c>
      <c r="E61" s="5">
        <v>192030</v>
      </c>
      <c r="F61" s="7" t="s">
        <v>406</v>
      </c>
      <c r="G61" s="2"/>
      <c r="J61" s="2"/>
      <c r="L61" s="2"/>
      <c r="M61" s="2"/>
      <c r="P61" s="2"/>
      <c r="R61" s="2"/>
    </row>
    <row r="62" spans="1:18" x14ac:dyDescent="0.25">
      <c r="A62" s="2"/>
      <c r="B62" s="5">
        <f t="shared" si="3"/>
        <v>22</v>
      </c>
      <c r="C62" s="5">
        <v>192101</v>
      </c>
      <c r="D62" s="7" t="s">
        <v>408</v>
      </c>
      <c r="E62" s="5">
        <v>192101</v>
      </c>
      <c r="F62" s="7" t="s">
        <v>408</v>
      </c>
      <c r="G62" s="2"/>
      <c r="J62" s="2"/>
      <c r="L62" s="2"/>
      <c r="M62" s="2"/>
      <c r="P62" s="2"/>
      <c r="R62" s="2"/>
    </row>
    <row r="63" spans="1:18" x14ac:dyDescent="0.25">
      <c r="A63" s="2"/>
      <c r="B63" s="5">
        <f t="shared" si="3"/>
        <v>23</v>
      </c>
      <c r="C63" s="5">
        <v>192102</v>
      </c>
      <c r="D63" s="7" t="s">
        <v>410</v>
      </c>
      <c r="E63" s="5">
        <v>192102</v>
      </c>
      <c r="F63" s="7" t="s">
        <v>410</v>
      </c>
      <c r="G63" s="2"/>
      <c r="J63" s="2"/>
      <c r="L63" s="2"/>
      <c r="M63" s="2"/>
      <c r="P63" s="2"/>
      <c r="R63" s="2"/>
    </row>
    <row r="64" spans="1:18" x14ac:dyDescent="0.25">
      <c r="A64" s="2"/>
      <c r="B64" s="5">
        <f t="shared" si="3"/>
        <v>24</v>
      </c>
      <c r="C64" s="5">
        <v>192103</v>
      </c>
      <c r="D64" s="7" t="s">
        <v>411</v>
      </c>
      <c r="E64" s="5">
        <v>192103</v>
      </c>
      <c r="F64" s="7" t="s">
        <v>411</v>
      </c>
      <c r="G64" s="2"/>
      <c r="J64" s="2"/>
      <c r="L64" s="2"/>
      <c r="M64" s="2"/>
      <c r="P64" s="2"/>
      <c r="R64" s="2"/>
    </row>
    <row r="65" spans="1:18" x14ac:dyDescent="0.25">
      <c r="A65" s="2"/>
      <c r="B65" s="5">
        <f t="shared" si="3"/>
        <v>25</v>
      </c>
      <c r="C65" s="5">
        <v>192107</v>
      </c>
      <c r="D65" s="7" t="s">
        <v>413</v>
      </c>
      <c r="E65" s="5">
        <v>192107</v>
      </c>
      <c r="F65" s="7" t="s">
        <v>413</v>
      </c>
      <c r="G65" s="2"/>
      <c r="J65" s="2"/>
      <c r="L65" s="2"/>
      <c r="M65" s="2"/>
      <c r="P65" s="2"/>
      <c r="R65" s="2"/>
    </row>
    <row r="66" spans="1:18" x14ac:dyDescent="0.25">
      <c r="A66" s="2"/>
      <c r="B66" s="5">
        <f t="shared" si="3"/>
        <v>26</v>
      </c>
      <c r="C66" s="5">
        <v>192200</v>
      </c>
      <c r="D66" s="7" t="s">
        <v>415</v>
      </c>
      <c r="E66" s="5">
        <v>192200</v>
      </c>
      <c r="F66" s="7" t="s">
        <v>415</v>
      </c>
      <c r="G66" s="2"/>
      <c r="J66" s="2"/>
      <c r="L66" s="2"/>
      <c r="M66" s="2"/>
      <c r="P66" s="2"/>
      <c r="R66" s="2"/>
    </row>
    <row r="67" spans="1:18" x14ac:dyDescent="0.25">
      <c r="A67" s="2"/>
      <c r="B67" s="5">
        <f t="shared" si="3"/>
        <v>27</v>
      </c>
      <c r="C67" s="5">
        <v>192401</v>
      </c>
      <c r="D67" s="7" t="s">
        <v>417</v>
      </c>
      <c r="E67" s="5">
        <v>192401</v>
      </c>
      <c r="F67" s="7" t="s">
        <v>417</v>
      </c>
      <c r="G67" s="2"/>
      <c r="J67" s="2"/>
      <c r="L67" s="2"/>
      <c r="M67" s="2"/>
      <c r="P67" s="2"/>
      <c r="R67" s="2"/>
    </row>
    <row r="68" spans="1:18" x14ac:dyDescent="0.25">
      <c r="A68" s="2"/>
      <c r="B68" s="5">
        <f t="shared" si="3"/>
        <v>28</v>
      </c>
      <c r="C68" s="5">
        <v>192402</v>
      </c>
      <c r="D68" s="7" t="s">
        <v>419</v>
      </c>
      <c r="E68" s="5">
        <v>2</v>
      </c>
      <c r="F68" s="7" t="s">
        <v>419</v>
      </c>
      <c r="G68" s="2"/>
      <c r="J68" s="2"/>
      <c r="L68" s="2"/>
      <c r="M68" s="2"/>
      <c r="P68" s="2"/>
      <c r="R68" s="2"/>
    </row>
    <row r="69" spans="1:18" x14ac:dyDescent="0.25">
      <c r="A69" s="2"/>
      <c r="B69" s="5">
        <f t="shared" si="3"/>
        <v>29</v>
      </c>
      <c r="C69" s="5">
        <v>192403</v>
      </c>
      <c r="D69" s="7" t="s">
        <v>420</v>
      </c>
      <c r="E69" s="5">
        <v>192403</v>
      </c>
      <c r="F69" s="7" t="s">
        <v>420</v>
      </c>
      <c r="G69" s="2"/>
      <c r="J69" s="2"/>
      <c r="L69" s="2"/>
      <c r="M69" s="2"/>
      <c r="P69" s="2"/>
      <c r="R69" s="2"/>
    </row>
    <row r="70" spans="1:18" x14ac:dyDescent="0.25">
      <c r="A70" s="2"/>
      <c r="B70" s="5">
        <f t="shared" si="3"/>
        <v>30</v>
      </c>
      <c r="C70" s="5">
        <v>192407</v>
      </c>
      <c r="D70" s="7" t="s">
        <v>422</v>
      </c>
      <c r="E70" s="5">
        <v>192407</v>
      </c>
      <c r="F70" s="7" t="s">
        <v>422</v>
      </c>
      <c r="G70" s="2"/>
      <c r="J70" s="2"/>
      <c r="L70" s="2"/>
      <c r="M70" s="2"/>
      <c r="P70" s="2"/>
      <c r="R70" s="2"/>
    </row>
    <row r="71" spans="1:18" x14ac:dyDescent="0.25">
      <c r="A71" s="2"/>
      <c r="B71" s="5">
        <f t="shared" si="3"/>
        <v>31</v>
      </c>
      <c r="C71" s="5">
        <v>192500</v>
      </c>
      <c r="D71" s="7" t="s">
        <v>424</v>
      </c>
      <c r="E71" s="5">
        <v>192500</v>
      </c>
      <c r="F71" s="7" t="s">
        <v>424</v>
      </c>
      <c r="G71" s="2"/>
      <c r="J71" s="2"/>
      <c r="L71" s="2"/>
      <c r="M71" s="2"/>
      <c r="P71" s="2"/>
      <c r="R71" s="2"/>
    </row>
    <row r="72" spans="1:18" x14ac:dyDescent="0.25">
      <c r="A72" s="2"/>
      <c r="B72" s="5">
        <f t="shared" si="3"/>
        <v>32</v>
      </c>
      <c r="C72" s="5">
        <v>192600</v>
      </c>
      <c r="D72" s="7" t="s">
        <v>426</v>
      </c>
      <c r="E72" s="5">
        <v>192600</v>
      </c>
      <c r="F72" s="7" t="s">
        <v>426</v>
      </c>
      <c r="G72" s="2"/>
      <c r="J72" s="2"/>
      <c r="L72" s="2"/>
      <c r="M72" s="2"/>
      <c r="P72" s="2"/>
      <c r="R72" s="2"/>
    </row>
    <row r="73" spans="1:18" x14ac:dyDescent="0.25">
      <c r="A73" s="2"/>
      <c r="D73" s="2"/>
      <c r="F73" s="2"/>
      <c r="G73" s="2"/>
      <c r="J73" s="2"/>
      <c r="L73" s="2"/>
      <c r="M73" s="2"/>
      <c r="P73" s="2"/>
      <c r="R73" s="2"/>
    </row>
    <row r="74" spans="1:18" x14ac:dyDescent="0.25">
      <c r="A74" s="2"/>
      <c r="D74" s="2"/>
      <c r="F74" s="2"/>
      <c r="G74" s="2"/>
      <c r="J74" s="2"/>
      <c r="L74" s="2"/>
      <c r="M74" s="2"/>
      <c r="P74" s="2"/>
      <c r="R74" s="2"/>
    </row>
    <row r="75" spans="1:18" x14ac:dyDescent="0.25">
      <c r="A75" s="2"/>
      <c r="D75" s="2"/>
      <c r="F75" s="2"/>
      <c r="G75" s="2"/>
      <c r="J75" s="2"/>
      <c r="L75" s="2"/>
      <c r="M75" s="2"/>
      <c r="P75" s="2"/>
      <c r="R7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3C49-5916-4BFC-9712-5C4D6D7F314E}">
  <dimension ref="B2:L143"/>
  <sheetViews>
    <sheetView topLeftCell="B1" workbookViewId="0">
      <selection activeCell="C5" sqref="C5"/>
    </sheetView>
  </sheetViews>
  <sheetFormatPr defaultRowHeight="15" x14ac:dyDescent="0.25"/>
  <cols>
    <col min="3" max="3" width="29.42578125" customWidth="1"/>
    <col min="4" max="4" width="27.7109375" customWidth="1"/>
    <col min="6" max="7" width="9.140625" style="2"/>
    <col min="8" max="8" width="59.7109375" customWidth="1"/>
    <col min="9" max="9" width="28.140625" customWidth="1"/>
    <col min="10" max="10" width="6.140625" bestFit="1" customWidth="1"/>
    <col min="11" max="11" width="6.42578125" bestFit="1" customWidth="1"/>
    <col min="12" max="12" width="8.7109375" bestFit="1" customWidth="1"/>
  </cols>
  <sheetData>
    <row r="2" spans="2:12" ht="15.75" x14ac:dyDescent="0.25">
      <c r="B2" s="37" t="s">
        <v>765</v>
      </c>
      <c r="C2" s="33"/>
    </row>
    <row r="3" spans="2:12" x14ac:dyDescent="0.25">
      <c r="B3" s="34" t="s">
        <v>464</v>
      </c>
      <c r="C3" s="35" t="s">
        <v>74</v>
      </c>
      <c r="D3" s="35" t="s">
        <v>75</v>
      </c>
    </row>
    <row r="4" spans="2:12" x14ac:dyDescent="0.25">
      <c r="B4" s="5">
        <v>1</v>
      </c>
      <c r="C4" s="36" t="s">
        <v>465</v>
      </c>
      <c r="D4" s="36" t="s">
        <v>465</v>
      </c>
    </row>
    <row r="5" spans="2:12" x14ac:dyDescent="0.25">
      <c r="B5" s="5">
        <v>2</v>
      </c>
      <c r="C5" s="36" t="s">
        <v>466</v>
      </c>
      <c r="D5" s="36" t="s">
        <v>466</v>
      </c>
    </row>
    <row r="6" spans="2:12" ht="15.75" x14ac:dyDescent="0.25">
      <c r="F6" s="37" t="s">
        <v>766</v>
      </c>
      <c r="G6" s="51"/>
    </row>
    <row r="7" spans="2:12" x14ac:dyDescent="0.25">
      <c r="F7" s="34" t="s">
        <v>464</v>
      </c>
      <c r="G7" s="34" t="s">
        <v>767</v>
      </c>
      <c r="H7" s="35" t="s">
        <v>74</v>
      </c>
      <c r="I7" s="38" t="s">
        <v>75</v>
      </c>
      <c r="J7" s="38" t="s">
        <v>467</v>
      </c>
      <c r="K7" s="38" t="s">
        <v>468</v>
      </c>
      <c r="L7" s="38" t="s">
        <v>469</v>
      </c>
    </row>
    <row r="8" spans="2:12" x14ac:dyDescent="0.25">
      <c r="F8" s="47">
        <v>1</v>
      </c>
      <c r="G8" s="47">
        <v>2</v>
      </c>
      <c r="H8" s="39" t="s">
        <v>470</v>
      </c>
      <c r="I8" s="40" t="s">
        <v>471</v>
      </c>
      <c r="J8" s="40">
        <v>1</v>
      </c>
      <c r="K8" s="40">
        <v>0</v>
      </c>
      <c r="L8" s="40"/>
    </row>
    <row r="9" spans="2:12" x14ac:dyDescent="0.25">
      <c r="F9" s="48">
        <f>F8 + 1</f>
        <v>2</v>
      </c>
      <c r="G9" s="48">
        <v>2</v>
      </c>
      <c r="H9" s="41" t="s">
        <v>472</v>
      </c>
      <c r="I9" s="42" t="s">
        <v>473</v>
      </c>
      <c r="J9" s="42" t="s">
        <v>474</v>
      </c>
      <c r="K9" s="42">
        <v>1</v>
      </c>
      <c r="L9" s="42">
        <v>1</v>
      </c>
    </row>
    <row r="10" spans="2:12" x14ac:dyDescent="0.25">
      <c r="F10" s="49">
        <f t="shared" ref="F10:F73" si="0">F9 + 1</f>
        <v>3</v>
      </c>
      <c r="G10" s="49">
        <v>2</v>
      </c>
      <c r="H10" s="43" t="s">
        <v>475</v>
      </c>
      <c r="I10" s="44"/>
      <c r="J10" s="44" t="s">
        <v>476</v>
      </c>
      <c r="K10" s="44">
        <v>2</v>
      </c>
      <c r="L10" s="44">
        <v>2</v>
      </c>
    </row>
    <row r="11" spans="2:12" x14ac:dyDescent="0.25">
      <c r="F11" s="49">
        <f t="shared" si="0"/>
        <v>4</v>
      </c>
      <c r="G11" s="49">
        <v>2</v>
      </c>
      <c r="H11" s="43" t="s">
        <v>477</v>
      </c>
      <c r="I11" s="44"/>
      <c r="J11" s="44" t="s">
        <v>478</v>
      </c>
      <c r="K11" s="44">
        <v>2</v>
      </c>
      <c r="L11" s="44">
        <v>2</v>
      </c>
    </row>
    <row r="12" spans="2:12" x14ac:dyDescent="0.25">
      <c r="F12" s="49">
        <f t="shared" si="0"/>
        <v>5</v>
      </c>
      <c r="G12" s="49">
        <v>2</v>
      </c>
      <c r="H12" s="43" t="s">
        <v>479</v>
      </c>
      <c r="I12" s="44"/>
      <c r="J12" s="44" t="s">
        <v>480</v>
      </c>
      <c r="K12" s="44">
        <v>2</v>
      </c>
      <c r="L12" s="44">
        <v>2</v>
      </c>
    </row>
    <row r="13" spans="2:12" x14ac:dyDescent="0.25">
      <c r="F13" s="49">
        <f t="shared" si="0"/>
        <v>6</v>
      </c>
      <c r="G13" s="49">
        <v>2</v>
      </c>
      <c r="H13" s="43" t="s">
        <v>481</v>
      </c>
      <c r="I13" s="44"/>
      <c r="J13" s="44" t="s">
        <v>482</v>
      </c>
      <c r="K13" s="44">
        <v>2</v>
      </c>
      <c r="L13" s="44">
        <v>2</v>
      </c>
    </row>
    <row r="14" spans="2:12" x14ac:dyDescent="0.25">
      <c r="F14" s="48">
        <f t="shared" si="0"/>
        <v>7</v>
      </c>
      <c r="G14" s="48">
        <v>2</v>
      </c>
      <c r="H14" s="41" t="s">
        <v>483</v>
      </c>
      <c r="I14" s="42" t="s">
        <v>484</v>
      </c>
      <c r="J14" s="42" t="s">
        <v>485</v>
      </c>
      <c r="K14" s="42">
        <v>1</v>
      </c>
      <c r="L14" s="42">
        <v>1</v>
      </c>
    </row>
    <row r="15" spans="2:12" x14ac:dyDescent="0.25">
      <c r="F15" s="49">
        <f t="shared" si="0"/>
        <v>8</v>
      </c>
      <c r="G15" s="49">
        <v>2</v>
      </c>
      <c r="H15" s="43" t="s">
        <v>486</v>
      </c>
      <c r="I15" s="44"/>
      <c r="J15" s="44" t="s">
        <v>487</v>
      </c>
      <c r="K15" s="44">
        <v>2</v>
      </c>
      <c r="L15" s="44">
        <v>7</v>
      </c>
    </row>
    <row r="16" spans="2:12" x14ac:dyDescent="0.25">
      <c r="F16" s="49">
        <f t="shared" si="0"/>
        <v>9</v>
      </c>
      <c r="G16" s="49">
        <v>2</v>
      </c>
      <c r="H16" s="43" t="s">
        <v>488</v>
      </c>
      <c r="I16" s="44"/>
      <c r="J16" s="44" t="s">
        <v>489</v>
      </c>
      <c r="K16" s="44">
        <v>2</v>
      </c>
      <c r="L16" s="44">
        <v>7</v>
      </c>
    </row>
    <row r="17" spans="4:12" x14ac:dyDescent="0.25">
      <c r="F17" s="49">
        <f t="shared" si="0"/>
        <v>10</v>
      </c>
      <c r="G17" s="49">
        <v>2</v>
      </c>
      <c r="H17" s="43" t="s">
        <v>490</v>
      </c>
      <c r="I17" s="44"/>
      <c r="J17" s="44" t="s">
        <v>491</v>
      </c>
      <c r="K17" s="44">
        <v>2</v>
      </c>
      <c r="L17" s="44">
        <v>7</v>
      </c>
    </row>
    <row r="18" spans="4:12" x14ac:dyDescent="0.25">
      <c r="F18" s="48">
        <f t="shared" si="0"/>
        <v>11</v>
      </c>
      <c r="G18" s="48">
        <v>2</v>
      </c>
      <c r="H18" s="41" t="s">
        <v>492</v>
      </c>
      <c r="I18" s="42" t="s">
        <v>493</v>
      </c>
      <c r="J18" s="42" t="s">
        <v>494</v>
      </c>
      <c r="K18" s="42">
        <v>1</v>
      </c>
      <c r="L18" s="42">
        <v>1</v>
      </c>
    </row>
    <row r="19" spans="4:12" x14ac:dyDescent="0.25">
      <c r="F19" s="49">
        <f t="shared" si="0"/>
        <v>12</v>
      </c>
      <c r="G19" s="49">
        <v>2</v>
      </c>
      <c r="H19" s="43" t="s">
        <v>495</v>
      </c>
      <c r="I19" s="44"/>
      <c r="J19" s="44" t="s">
        <v>496</v>
      </c>
      <c r="K19" s="44">
        <v>2</v>
      </c>
      <c r="L19" s="44">
        <v>11</v>
      </c>
    </row>
    <row r="20" spans="4:12" x14ac:dyDescent="0.25">
      <c r="F20" s="49">
        <f t="shared" si="0"/>
        <v>13</v>
      </c>
      <c r="G20" s="49">
        <v>2</v>
      </c>
      <c r="H20" s="43" t="s">
        <v>497</v>
      </c>
      <c r="I20" s="44"/>
      <c r="J20" s="44" t="s">
        <v>498</v>
      </c>
      <c r="K20" s="44">
        <v>2</v>
      </c>
      <c r="L20" s="44">
        <v>11</v>
      </c>
    </row>
    <row r="21" spans="4:12" x14ac:dyDescent="0.25">
      <c r="F21" s="49">
        <f t="shared" si="0"/>
        <v>14</v>
      </c>
      <c r="G21" s="49">
        <v>2</v>
      </c>
      <c r="H21" s="43" t="s">
        <v>499</v>
      </c>
      <c r="I21" s="44"/>
      <c r="J21" s="44" t="s">
        <v>500</v>
      </c>
      <c r="K21" s="44">
        <v>2</v>
      </c>
      <c r="L21" s="44">
        <v>11</v>
      </c>
    </row>
    <row r="22" spans="4:12" x14ac:dyDescent="0.25">
      <c r="D22" t="s">
        <v>76</v>
      </c>
      <c r="F22" s="49">
        <f t="shared" si="0"/>
        <v>15</v>
      </c>
      <c r="G22" s="49">
        <v>2</v>
      </c>
      <c r="H22" s="43" t="s">
        <v>501</v>
      </c>
      <c r="I22" s="44"/>
      <c r="J22" s="44" t="s">
        <v>502</v>
      </c>
      <c r="K22" s="44">
        <v>2</v>
      </c>
      <c r="L22" s="44">
        <v>11</v>
      </c>
    </row>
    <row r="23" spans="4:12" x14ac:dyDescent="0.25">
      <c r="F23" s="49">
        <f t="shared" si="0"/>
        <v>16</v>
      </c>
      <c r="G23" s="49">
        <v>2</v>
      </c>
      <c r="H23" s="43" t="s">
        <v>503</v>
      </c>
      <c r="I23" s="44"/>
      <c r="J23" s="44" t="s">
        <v>504</v>
      </c>
      <c r="K23" s="44">
        <v>2</v>
      </c>
      <c r="L23" s="44">
        <v>11</v>
      </c>
    </row>
    <row r="24" spans="4:12" x14ac:dyDescent="0.25">
      <c r="F24" s="48">
        <f t="shared" si="0"/>
        <v>17</v>
      </c>
      <c r="G24" s="48">
        <v>2</v>
      </c>
      <c r="H24" s="41" t="s">
        <v>505</v>
      </c>
      <c r="I24" s="41" t="s">
        <v>506</v>
      </c>
      <c r="J24" s="41" t="s">
        <v>507</v>
      </c>
      <c r="K24" s="41">
        <v>1</v>
      </c>
      <c r="L24" s="42">
        <v>1</v>
      </c>
    </row>
    <row r="25" spans="4:12" x14ac:dyDescent="0.25">
      <c r="F25" s="49">
        <f t="shared" si="0"/>
        <v>18</v>
      </c>
      <c r="G25" s="49">
        <v>2</v>
      </c>
      <c r="H25" s="43" t="s">
        <v>508</v>
      </c>
      <c r="I25" s="44"/>
      <c r="J25" s="44" t="s">
        <v>509</v>
      </c>
      <c r="K25" s="44">
        <v>2</v>
      </c>
      <c r="L25" s="44">
        <v>17</v>
      </c>
    </row>
    <row r="26" spans="4:12" x14ac:dyDescent="0.25">
      <c r="F26" s="49">
        <f t="shared" si="0"/>
        <v>19</v>
      </c>
      <c r="G26" s="49">
        <v>2</v>
      </c>
      <c r="H26" s="43" t="s">
        <v>510</v>
      </c>
      <c r="I26" s="44"/>
      <c r="J26" s="44" t="s">
        <v>511</v>
      </c>
      <c r="K26" s="44">
        <v>2</v>
      </c>
      <c r="L26" s="44">
        <v>17</v>
      </c>
    </row>
    <row r="27" spans="4:12" x14ac:dyDescent="0.25">
      <c r="F27" s="49">
        <f t="shared" si="0"/>
        <v>20</v>
      </c>
      <c r="G27" s="49">
        <v>2</v>
      </c>
      <c r="H27" s="43" t="s">
        <v>512</v>
      </c>
      <c r="I27" s="44"/>
      <c r="J27" s="44" t="s">
        <v>513</v>
      </c>
      <c r="K27" s="44">
        <v>2</v>
      </c>
      <c r="L27" s="44">
        <v>17</v>
      </c>
    </row>
    <row r="28" spans="4:12" x14ac:dyDescent="0.25">
      <c r="F28" s="48">
        <f t="shared" si="0"/>
        <v>21</v>
      </c>
      <c r="G28" s="48">
        <v>2</v>
      </c>
      <c r="H28" s="41" t="s">
        <v>514</v>
      </c>
      <c r="I28" s="42" t="s">
        <v>515</v>
      </c>
      <c r="J28" s="42" t="s">
        <v>516</v>
      </c>
      <c r="K28" s="42">
        <v>1</v>
      </c>
      <c r="L28" s="42">
        <v>1</v>
      </c>
    </row>
    <row r="29" spans="4:12" x14ac:dyDescent="0.25">
      <c r="F29" s="49">
        <f t="shared" si="0"/>
        <v>22</v>
      </c>
      <c r="G29" s="49">
        <v>2</v>
      </c>
      <c r="H29" s="43" t="s">
        <v>517</v>
      </c>
      <c r="I29" s="44"/>
      <c r="J29" s="44" t="s">
        <v>518</v>
      </c>
      <c r="K29" s="44">
        <v>2</v>
      </c>
      <c r="L29" s="44">
        <v>21</v>
      </c>
    </row>
    <row r="30" spans="4:12" x14ac:dyDescent="0.25">
      <c r="F30" s="49">
        <f t="shared" si="0"/>
        <v>23</v>
      </c>
      <c r="G30" s="49">
        <v>2</v>
      </c>
      <c r="H30" s="43" t="s">
        <v>519</v>
      </c>
      <c r="I30" s="44"/>
      <c r="J30" s="44" t="s">
        <v>520</v>
      </c>
      <c r="K30" s="44">
        <v>2</v>
      </c>
      <c r="L30" s="44">
        <v>21</v>
      </c>
    </row>
    <row r="31" spans="4:12" x14ac:dyDescent="0.25">
      <c r="F31" s="49">
        <f t="shared" si="0"/>
        <v>24</v>
      </c>
      <c r="G31" s="49">
        <v>2</v>
      </c>
      <c r="H31" s="43" t="s">
        <v>521</v>
      </c>
      <c r="I31" s="44"/>
      <c r="J31" s="44" t="s">
        <v>522</v>
      </c>
      <c r="K31" s="44">
        <v>2</v>
      </c>
      <c r="L31" s="44">
        <v>21</v>
      </c>
    </row>
    <row r="32" spans="4:12" x14ac:dyDescent="0.25">
      <c r="F32" s="49">
        <f t="shared" si="0"/>
        <v>25</v>
      </c>
      <c r="G32" s="49">
        <v>2</v>
      </c>
      <c r="H32" s="43" t="s">
        <v>523</v>
      </c>
      <c r="I32" s="44"/>
      <c r="J32" s="44" t="s">
        <v>524</v>
      </c>
      <c r="K32" s="44">
        <v>2</v>
      </c>
      <c r="L32" s="44">
        <v>21</v>
      </c>
    </row>
    <row r="33" spans="6:12" x14ac:dyDescent="0.25">
      <c r="F33" s="49">
        <f t="shared" si="0"/>
        <v>26</v>
      </c>
      <c r="G33" s="49">
        <v>2</v>
      </c>
      <c r="H33" s="43" t="s">
        <v>525</v>
      </c>
      <c r="I33" s="44"/>
      <c r="J33" s="44" t="s">
        <v>526</v>
      </c>
      <c r="K33" s="44">
        <v>2</v>
      </c>
      <c r="L33" s="44">
        <v>21</v>
      </c>
    </row>
    <row r="34" spans="6:12" x14ac:dyDescent="0.25">
      <c r="F34" s="49">
        <f t="shared" si="0"/>
        <v>27</v>
      </c>
      <c r="G34" s="49">
        <v>2</v>
      </c>
      <c r="H34" s="43" t="s">
        <v>527</v>
      </c>
      <c r="I34" s="44"/>
      <c r="J34" s="44" t="s">
        <v>528</v>
      </c>
      <c r="K34" s="44">
        <v>2</v>
      </c>
      <c r="L34" s="44">
        <v>21</v>
      </c>
    </row>
    <row r="35" spans="6:12" x14ac:dyDescent="0.25">
      <c r="F35" s="48">
        <f t="shared" si="0"/>
        <v>28</v>
      </c>
      <c r="G35" s="48">
        <v>2</v>
      </c>
      <c r="H35" s="41" t="s">
        <v>529</v>
      </c>
      <c r="I35" s="42" t="s">
        <v>530</v>
      </c>
      <c r="J35" s="42" t="s">
        <v>531</v>
      </c>
      <c r="K35" s="42">
        <v>1</v>
      </c>
      <c r="L35" s="42">
        <v>1</v>
      </c>
    </row>
    <row r="36" spans="6:12" x14ac:dyDescent="0.25">
      <c r="F36" s="49">
        <f t="shared" si="0"/>
        <v>29</v>
      </c>
      <c r="G36" s="49">
        <v>2</v>
      </c>
      <c r="H36" s="43" t="s">
        <v>532</v>
      </c>
      <c r="I36" s="44"/>
      <c r="J36" s="44" t="s">
        <v>533</v>
      </c>
      <c r="K36" s="44">
        <v>2</v>
      </c>
      <c r="L36" s="44">
        <v>28</v>
      </c>
    </row>
    <row r="37" spans="6:12" x14ac:dyDescent="0.25">
      <c r="F37" s="49">
        <f t="shared" si="0"/>
        <v>30</v>
      </c>
      <c r="G37" s="49">
        <v>2</v>
      </c>
      <c r="H37" s="43" t="s">
        <v>534</v>
      </c>
      <c r="I37" s="45"/>
      <c r="J37" s="44" t="s">
        <v>535</v>
      </c>
      <c r="K37" s="44">
        <v>2</v>
      </c>
      <c r="L37" s="44">
        <v>28</v>
      </c>
    </row>
    <row r="38" spans="6:12" x14ac:dyDescent="0.25">
      <c r="F38" s="49">
        <f t="shared" si="0"/>
        <v>31</v>
      </c>
      <c r="G38" s="49">
        <v>2</v>
      </c>
      <c r="H38" s="43" t="s">
        <v>536</v>
      </c>
      <c r="I38" s="45"/>
      <c r="J38" s="44" t="s">
        <v>537</v>
      </c>
      <c r="K38" s="44">
        <v>2</v>
      </c>
      <c r="L38" s="44">
        <v>28</v>
      </c>
    </row>
    <row r="39" spans="6:12" x14ac:dyDescent="0.25">
      <c r="F39" s="49">
        <f t="shared" si="0"/>
        <v>32</v>
      </c>
      <c r="G39" s="49">
        <v>2</v>
      </c>
      <c r="H39" s="43" t="s">
        <v>538</v>
      </c>
      <c r="I39" s="45"/>
      <c r="J39" s="44" t="s">
        <v>539</v>
      </c>
      <c r="K39" s="44">
        <v>2</v>
      </c>
      <c r="L39" s="44">
        <v>28</v>
      </c>
    </row>
    <row r="40" spans="6:12" x14ac:dyDescent="0.25">
      <c r="F40" s="49">
        <f t="shared" si="0"/>
        <v>33</v>
      </c>
      <c r="G40" s="49">
        <v>2</v>
      </c>
      <c r="H40" s="43" t="s">
        <v>540</v>
      </c>
      <c r="I40" s="45"/>
      <c r="J40" s="44" t="s">
        <v>541</v>
      </c>
      <c r="K40" s="44">
        <v>2</v>
      </c>
      <c r="L40" s="44">
        <v>28</v>
      </c>
    </row>
    <row r="41" spans="6:12" x14ac:dyDescent="0.25">
      <c r="F41" s="49">
        <f t="shared" si="0"/>
        <v>34</v>
      </c>
      <c r="G41" s="49">
        <v>2</v>
      </c>
      <c r="H41" s="43" t="s">
        <v>542</v>
      </c>
      <c r="I41" s="45"/>
      <c r="J41" s="44" t="s">
        <v>543</v>
      </c>
      <c r="K41" s="44">
        <v>2</v>
      </c>
      <c r="L41" s="44">
        <v>28</v>
      </c>
    </row>
    <row r="42" spans="6:12" x14ac:dyDescent="0.25">
      <c r="F42" s="49">
        <f t="shared" si="0"/>
        <v>35</v>
      </c>
      <c r="G42" s="49">
        <v>2</v>
      </c>
      <c r="H42" s="43" t="s">
        <v>544</v>
      </c>
      <c r="I42" s="45"/>
      <c r="J42" s="44" t="s">
        <v>545</v>
      </c>
      <c r="K42" s="44">
        <v>2</v>
      </c>
      <c r="L42" s="44">
        <v>28</v>
      </c>
    </row>
    <row r="43" spans="6:12" x14ac:dyDescent="0.25">
      <c r="F43" s="48">
        <f t="shared" si="0"/>
        <v>36</v>
      </c>
      <c r="G43" s="48">
        <v>2</v>
      </c>
      <c r="H43" s="41" t="s">
        <v>546</v>
      </c>
      <c r="I43" s="46"/>
      <c r="J43" s="42" t="s">
        <v>547</v>
      </c>
      <c r="K43" s="42">
        <v>1</v>
      </c>
      <c r="L43" s="42">
        <v>1</v>
      </c>
    </row>
    <row r="44" spans="6:12" x14ac:dyDescent="0.25">
      <c r="F44" s="50">
        <f t="shared" si="0"/>
        <v>37</v>
      </c>
      <c r="G44" s="50">
        <v>2</v>
      </c>
      <c r="H44" s="39" t="s">
        <v>548</v>
      </c>
      <c r="I44" s="40" t="s">
        <v>549</v>
      </c>
      <c r="J44" s="40">
        <v>2</v>
      </c>
      <c r="K44" s="40">
        <v>0</v>
      </c>
      <c r="L44" s="40"/>
    </row>
    <row r="45" spans="6:12" x14ac:dyDescent="0.25">
      <c r="F45" s="48">
        <f t="shared" si="0"/>
        <v>38</v>
      </c>
      <c r="G45" s="48">
        <v>2</v>
      </c>
      <c r="H45" s="41" t="s">
        <v>550</v>
      </c>
      <c r="I45" s="42" t="s">
        <v>551</v>
      </c>
      <c r="J45" s="42" t="s">
        <v>552</v>
      </c>
      <c r="K45" s="42">
        <v>1</v>
      </c>
      <c r="L45" s="42">
        <v>37</v>
      </c>
    </row>
    <row r="46" spans="6:12" x14ac:dyDescent="0.25">
      <c r="F46" s="49">
        <f t="shared" si="0"/>
        <v>39</v>
      </c>
      <c r="G46" s="49">
        <v>2</v>
      </c>
      <c r="H46" s="43" t="s">
        <v>553</v>
      </c>
      <c r="I46" s="45"/>
      <c r="J46" s="44" t="s">
        <v>554</v>
      </c>
      <c r="K46" s="44">
        <v>2</v>
      </c>
      <c r="L46" s="44">
        <v>38</v>
      </c>
    </row>
    <row r="47" spans="6:12" x14ac:dyDescent="0.25">
      <c r="F47" s="49">
        <f t="shared" si="0"/>
        <v>40</v>
      </c>
      <c r="G47" s="49">
        <v>2</v>
      </c>
      <c r="H47" s="43" t="s">
        <v>555</v>
      </c>
      <c r="I47" s="45"/>
      <c r="J47" s="44" t="s">
        <v>556</v>
      </c>
      <c r="K47" s="44">
        <v>2</v>
      </c>
      <c r="L47" s="44">
        <v>38</v>
      </c>
    </row>
    <row r="48" spans="6:12" x14ac:dyDescent="0.25">
      <c r="F48" s="49">
        <f t="shared" si="0"/>
        <v>41</v>
      </c>
      <c r="G48" s="49">
        <v>2</v>
      </c>
      <c r="H48" s="43" t="s">
        <v>557</v>
      </c>
      <c r="I48" s="45"/>
      <c r="J48" s="44" t="s">
        <v>558</v>
      </c>
      <c r="K48" s="44">
        <v>2</v>
      </c>
      <c r="L48" s="44">
        <v>38</v>
      </c>
    </row>
    <row r="49" spans="6:12" x14ac:dyDescent="0.25">
      <c r="F49" s="49">
        <f t="shared" si="0"/>
        <v>42</v>
      </c>
      <c r="G49" s="49">
        <v>2</v>
      </c>
      <c r="H49" s="43" t="s">
        <v>559</v>
      </c>
      <c r="I49" s="45"/>
      <c r="J49" s="44" t="s">
        <v>560</v>
      </c>
      <c r="K49" s="44">
        <v>2</v>
      </c>
      <c r="L49" s="44">
        <v>38</v>
      </c>
    </row>
    <row r="50" spans="6:12" x14ac:dyDescent="0.25">
      <c r="F50" s="48">
        <f t="shared" si="0"/>
        <v>43</v>
      </c>
      <c r="G50" s="48">
        <v>2</v>
      </c>
      <c r="H50" s="41" t="s">
        <v>561</v>
      </c>
      <c r="I50" s="42" t="s">
        <v>562</v>
      </c>
      <c r="J50" s="42" t="s">
        <v>563</v>
      </c>
      <c r="K50" s="42">
        <v>1</v>
      </c>
      <c r="L50" s="42">
        <v>37</v>
      </c>
    </row>
    <row r="51" spans="6:12" x14ac:dyDescent="0.25">
      <c r="F51" s="49">
        <f t="shared" si="0"/>
        <v>44</v>
      </c>
      <c r="G51" s="49">
        <v>2</v>
      </c>
      <c r="H51" s="43" t="s">
        <v>564</v>
      </c>
      <c r="I51" s="45"/>
      <c r="J51" s="44" t="s">
        <v>565</v>
      </c>
      <c r="K51" s="44">
        <v>2</v>
      </c>
      <c r="L51" s="44">
        <v>43</v>
      </c>
    </row>
    <row r="52" spans="6:12" x14ac:dyDescent="0.25">
      <c r="F52" s="49">
        <f t="shared" si="0"/>
        <v>45</v>
      </c>
      <c r="G52" s="49">
        <v>2</v>
      </c>
      <c r="H52" s="43" t="s">
        <v>566</v>
      </c>
      <c r="I52" s="45"/>
      <c r="J52" s="44" t="s">
        <v>567</v>
      </c>
      <c r="K52" s="44">
        <v>2</v>
      </c>
      <c r="L52" s="44">
        <v>43</v>
      </c>
    </row>
    <row r="53" spans="6:12" x14ac:dyDescent="0.25">
      <c r="F53" s="49">
        <f t="shared" si="0"/>
        <v>46</v>
      </c>
      <c r="G53" s="49">
        <v>2</v>
      </c>
      <c r="H53" s="43" t="s">
        <v>568</v>
      </c>
      <c r="I53" s="45"/>
      <c r="J53" s="44" t="s">
        <v>569</v>
      </c>
      <c r="K53" s="44">
        <v>2</v>
      </c>
      <c r="L53" s="44">
        <v>43</v>
      </c>
    </row>
    <row r="54" spans="6:12" x14ac:dyDescent="0.25">
      <c r="F54" s="49">
        <f t="shared" si="0"/>
        <v>47</v>
      </c>
      <c r="G54" s="49">
        <v>2</v>
      </c>
      <c r="H54" s="43" t="s">
        <v>570</v>
      </c>
      <c r="I54" s="45"/>
      <c r="J54" s="44" t="s">
        <v>571</v>
      </c>
      <c r="K54" s="44">
        <v>2</v>
      </c>
      <c r="L54" s="44">
        <v>43</v>
      </c>
    </row>
    <row r="55" spans="6:12" x14ac:dyDescent="0.25">
      <c r="F55" s="48">
        <f t="shared" si="0"/>
        <v>48</v>
      </c>
      <c r="G55" s="48">
        <v>2</v>
      </c>
      <c r="H55" s="41" t="s">
        <v>572</v>
      </c>
      <c r="I55" s="42" t="s">
        <v>573</v>
      </c>
      <c r="J55" s="42" t="s">
        <v>574</v>
      </c>
      <c r="K55" s="42">
        <v>1</v>
      </c>
      <c r="L55" s="42">
        <v>37</v>
      </c>
    </row>
    <row r="56" spans="6:12" x14ac:dyDescent="0.25">
      <c r="F56" s="49">
        <f t="shared" si="0"/>
        <v>49</v>
      </c>
      <c r="G56" s="49">
        <v>2</v>
      </c>
      <c r="H56" s="43" t="s">
        <v>575</v>
      </c>
      <c r="I56" s="45"/>
      <c r="J56" s="44" t="s">
        <v>576</v>
      </c>
      <c r="K56" s="44">
        <v>2</v>
      </c>
      <c r="L56" s="44">
        <v>48</v>
      </c>
    </row>
    <row r="57" spans="6:12" x14ac:dyDescent="0.25">
      <c r="F57" s="49">
        <f t="shared" si="0"/>
        <v>50</v>
      </c>
      <c r="G57" s="49">
        <v>2</v>
      </c>
      <c r="H57" s="43" t="s">
        <v>577</v>
      </c>
      <c r="I57" s="45"/>
      <c r="J57" s="44" t="s">
        <v>578</v>
      </c>
      <c r="K57" s="44">
        <v>2</v>
      </c>
      <c r="L57" s="44">
        <v>48</v>
      </c>
    </row>
    <row r="58" spans="6:12" x14ac:dyDescent="0.25">
      <c r="F58" s="49">
        <f t="shared" si="0"/>
        <v>51</v>
      </c>
      <c r="G58" s="49">
        <v>2</v>
      </c>
      <c r="H58" s="43" t="s">
        <v>579</v>
      </c>
      <c r="I58" s="45"/>
      <c r="J58" s="44" t="s">
        <v>580</v>
      </c>
      <c r="K58" s="44">
        <v>2</v>
      </c>
      <c r="L58" s="44">
        <v>48</v>
      </c>
    </row>
    <row r="59" spans="6:12" x14ac:dyDescent="0.25">
      <c r="F59" s="49">
        <f t="shared" si="0"/>
        <v>52</v>
      </c>
      <c r="G59" s="49">
        <v>2</v>
      </c>
      <c r="H59" s="43" t="s">
        <v>581</v>
      </c>
      <c r="I59" s="45"/>
      <c r="J59" s="44" t="s">
        <v>582</v>
      </c>
      <c r="K59" s="44">
        <v>2</v>
      </c>
      <c r="L59" s="44">
        <v>48</v>
      </c>
    </row>
    <row r="60" spans="6:12" x14ac:dyDescent="0.25">
      <c r="F60" s="49">
        <f t="shared" si="0"/>
        <v>53</v>
      </c>
      <c r="G60" s="49">
        <v>2</v>
      </c>
      <c r="H60" s="43" t="s">
        <v>583</v>
      </c>
      <c r="I60" s="45"/>
      <c r="J60" s="44" t="s">
        <v>584</v>
      </c>
      <c r="K60" s="44">
        <v>2</v>
      </c>
      <c r="L60" s="44">
        <v>48</v>
      </c>
    </row>
    <row r="61" spans="6:12" x14ac:dyDescent="0.25">
      <c r="F61" s="49">
        <f t="shared" si="0"/>
        <v>54</v>
      </c>
      <c r="G61" s="49">
        <v>2</v>
      </c>
      <c r="H61" s="43" t="s">
        <v>585</v>
      </c>
      <c r="I61" s="45"/>
      <c r="J61" s="44" t="s">
        <v>586</v>
      </c>
      <c r="K61" s="44">
        <v>2</v>
      </c>
      <c r="L61" s="44">
        <v>48</v>
      </c>
    </row>
    <row r="62" spans="6:12" x14ac:dyDescent="0.25">
      <c r="F62" s="48">
        <f t="shared" si="0"/>
        <v>55</v>
      </c>
      <c r="G62" s="48">
        <v>2</v>
      </c>
      <c r="H62" s="41" t="s">
        <v>587</v>
      </c>
      <c r="I62" s="42" t="s">
        <v>588</v>
      </c>
      <c r="J62" s="42" t="s">
        <v>589</v>
      </c>
      <c r="K62" s="42">
        <v>1</v>
      </c>
      <c r="L62" s="42">
        <v>37</v>
      </c>
    </row>
    <row r="63" spans="6:12" x14ac:dyDescent="0.25">
      <c r="F63" s="49">
        <f t="shared" si="0"/>
        <v>56</v>
      </c>
      <c r="G63" s="49">
        <v>2</v>
      </c>
      <c r="H63" s="43" t="s">
        <v>590</v>
      </c>
      <c r="I63" s="45"/>
      <c r="J63" s="44" t="s">
        <v>591</v>
      </c>
      <c r="K63" s="44">
        <v>2</v>
      </c>
      <c r="L63" s="44">
        <v>55</v>
      </c>
    </row>
    <row r="64" spans="6:12" x14ac:dyDescent="0.25">
      <c r="F64" s="49">
        <f t="shared" si="0"/>
        <v>57</v>
      </c>
      <c r="G64" s="49">
        <v>2</v>
      </c>
      <c r="H64" s="43" t="s">
        <v>592</v>
      </c>
      <c r="I64" s="45"/>
      <c r="J64" s="44" t="s">
        <v>593</v>
      </c>
      <c r="K64" s="44">
        <v>2</v>
      </c>
      <c r="L64" s="44">
        <v>55</v>
      </c>
    </row>
    <row r="65" spans="6:12" x14ac:dyDescent="0.25">
      <c r="F65" s="49">
        <f t="shared" si="0"/>
        <v>58</v>
      </c>
      <c r="G65" s="49">
        <v>2</v>
      </c>
      <c r="H65" s="43" t="s">
        <v>594</v>
      </c>
      <c r="I65" s="45"/>
      <c r="J65" s="44" t="s">
        <v>595</v>
      </c>
      <c r="K65" s="44">
        <v>2</v>
      </c>
      <c r="L65" s="44">
        <v>55</v>
      </c>
    </row>
    <row r="66" spans="6:12" x14ac:dyDescent="0.25">
      <c r="F66" s="50">
        <f t="shared" si="0"/>
        <v>59</v>
      </c>
      <c r="G66" s="50">
        <v>2</v>
      </c>
      <c r="H66" s="39" t="s">
        <v>596</v>
      </c>
      <c r="I66" s="40" t="s">
        <v>597</v>
      </c>
      <c r="J66" s="40">
        <v>3</v>
      </c>
      <c r="K66" s="40">
        <v>0</v>
      </c>
      <c r="L66" s="40"/>
    </row>
    <row r="67" spans="6:12" x14ac:dyDescent="0.25">
      <c r="F67" s="48">
        <f t="shared" si="0"/>
        <v>60</v>
      </c>
      <c r="G67" s="48">
        <v>2</v>
      </c>
      <c r="H67" s="41" t="s">
        <v>598</v>
      </c>
      <c r="I67" s="42" t="s">
        <v>599</v>
      </c>
      <c r="J67" s="41" t="s">
        <v>600</v>
      </c>
      <c r="K67" s="41">
        <v>1</v>
      </c>
      <c r="L67" s="42">
        <v>59</v>
      </c>
    </row>
    <row r="68" spans="6:12" x14ac:dyDescent="0.25">
      <c r="F68" s="49">
        <f t="shared" si="0"/>
        <v>61</v>
      </c>
      <c r="G68" s="49">
        <v>2</v>
      </c>
      <c r="H68" s="43" t="s">
        <v>601</v>
      </c>
      <c r="I68" s="45"/>
      <c r="J68" s="44" t="s">
        <v>602</v>
      </c>
      <c r="K68" s="44">
        <v>2</v>
      </c>
      <c r="L68" s="44">
        <v>60</v>
      </c>
    </row>
    <row r="69" spans="6:12" x14ac:dyDescent="0.25">
      <c r="F69" s="49">
        <f t="shared" si="0"/>
        <v>62</v>
      </c>
      <c r="G69" s="49">
        <v>2</v>
      </c>
      <c r="H69" s="43" t="s">
        <v>603</v>
      </c>
      <c r="I69" s="45"/>
      <c r="J69" s="44" t="s">
        <v>604</v>
      </c>
      <c r="K69" s="44">
        <v>2</v>
      </c>
      <c r="L69" s="44">
        <v>60</v>
      </c>
    </row>
    <row r="70" spans="6:12" x14ac:dyDescent="0.25">
      <c r="F70" s="48">
        <f t="shared" si="0"/>
        <v>63</v>
      </c>
      <c r="G70" s="48">
        <v>2</v>
      </c>
      <c r="H70" s="41" t="s">
        <v>605</v>
      </c>
      <c r="I70" s="42" t="s">
        <v>606</v>
      </c>
      <c r="J70" s="42" t="s">
        <v>607</v>
      </c>
      <c r="K70" s="42">
        <v>1</v>
      </c>
      <c r="L70" s="42">
        <v>59</v>
      </c>
    </row>
    <row r="71" spans="6:12" x14ac:dyDescent="0.25">
      <c r="F71" s="49">
        <f t="shared" si="0"/>
        <v>64</v>
      </c>
      <c r="G71" s="49">
        <v>2</v>
      </c>
      <c r="H71" s="43" t="s">
        <v>608</v>
      </c>
      <c r="I71" s="45"/>
      <c r="J71" s="44" t="s">
        <v>609</v>
      </c>
      <c r="K71" s="44">
        <v>2</v>
      </c>
      <c r="L71" s="43">
        <v>63</v>
      </c>
    </row>
    <row r="72" spans="6:12" x14ac:dyDescent="0.25">
      <c r="F72" s="49">
        <f t="shared" si="0"/>
        <v>65</v>
      </c>
      <c r="G72" s="49">
        <v>2</v>
      </c>
      <c r="H72" s="43" t="s">
        <v>610</v>
      </c>
      <c r="I72" s="45"/>
      <c r="J72" s="44" t="s">
        <v>611</v>
      </c>
      <c r="K72" s="44">
        <v>2</v>
      </c>
      <c r="L72" s="43">
        <v>63</v>
      </c>
    </row>
    <row r="73" spans="6:12" x14ac:dyDescent="0.25">
      <c r="F73" s="49">
        <f t="shared" si="0"/>
        <v>66</v>
      </c>
      <c r="G73" s="49">
        <v>2</v>
      </c>
      <c r="H73" s="43" t="s">
        <v>612</v>
      </c>
      <c r="I73" s="45"/>
      <c r="J73" s="44" t="s">
        <v>613</v>
      </c>
      <c r="K73" s="44">
        <v>2</v>
      </c>
      <c r="L73" s="43">
        <v>63</v>
      </c>
    </row>
    <row r="74" spans="6:12" x14ac:dyDescent="0.25">
      <c r="F74" s="49">
        <f t="shared" ref="F74:F137" si="1">F73 + 1</f>
        <v>67</v>
      </c>
      <c r="G74" s="49">
        <v>2</v>
      </c>
      <c r="H74" s="43" t="s">
        <v>614</v>
      </c>
      <c r="I74" s="45"/>
      <c r="J74" s="44" t="s">
        <v>615</v>
      </c>
      <c r="K74" s="44">
        <v>2</v>
      </c>
      <c r="L74" s="43">
        <v>63</v>
      </c>
    </row>
    <row r="75" spans="6:12" x14ac:dyDescent="0.25">
      <c r="F75" s="48">
        <f t="shared" si="1"/>
        <v>68</v>
      </c>
      <c r="G75" s="48">
        <v>2</v>
      </c>
      <c r="H75" s="41" t="s">
        <v>616</v>
      </c>
      <c r="I75" s="42" t="s">
        <v>617</v>
      </c>
      <c r="J75" s="42" t="s">
        <v>618</v>
      </c>
      <c r="K75" s="42">
        <v>1</v>
      </c>
      <c r="L75" s="42">
        <v>59</v>
      </c>
    </row>
    <row r="76" spans="6:12" x14ac:dyDescent="0.25">
      <c r="F76" s="49">
        <f t="shared" si="1"/>
        <v>69</v>
      </c>
      <c r="G76" s="49">
        <v>2</v>
      </c>
      <c r="H76" s="43" t="s">
        <v>619</v>
      </c>
      <c r="I76" s="45"/>
      <c r="J76" s="44" t="s">
        <v>620</v>
      </c>
      <c r="K76" s="44">
        <v>2</v>
      </c>
      <c r="L76" s="43">
        <v>68</v>
      </c>
    </row>
    <row r="77" spans="6:12" x14ac:dyDescent="0.25">
      <c r="F77" s="49">
        <f t="shared" si="1"/>
        <v>70</v>
      </c>
      <c r="G77" s="49">
        <v>2</v>
      </c>
      <c r="H77" s="43" t="s">
        <v>621</v>
      </c>
      <c r="I77" s="45"/>
      <c r="J77" s="44" t="s">
        <v>622</v>
      </c>
      <c r="K77" s="44">
        <v>2</v>
      </c>
      <c r="L77" s="43">
        <v>68</v>
      </c>
    </row>
    <row r="78" spans="6:12" x14ac:dyDescent="0.25">
      <c r="F78" s="49">
        <f t="shared" si="1"/>
        <v>71</v>
      </c>
      <c r="G78" s="49">
        <v>2</v>
      </c>
      <c r="H78" s="43" t="s">
        <v>623</v>
      </c>
      <c r="I78" s="45"/>
      <c r="J78" s="44" t="s">
        <v>624</v>
      </c>
      <c r="K78" s="44">
        <v>2</v>
      </c>
      <c r="L78" s="43">
        <v>68</v>
      </c>
    </row>
    <row r="79" spans="6:12" x14ac:dyDescent="0.25">
      <c r="F79" s="49">
        <f t="shared" si="1"/>
        <v>72</v>
      </c>
      <c r="G79" s="49">
        <v>2</v>
      </c>
      <c r="H79" s="43" t="s">
        <v>625</v>
      </c>
      <c r="I79" s="45"/>
      <c r="J79" s="44" t="s">
        <v>626</v>
      </c>
      <c r="K79" s="44">
        <v>2</v>
      </c>
      <c r="L79" s="43">
        <v>68</v>
      </c>
    </row>
    <row r="80" spans="6:12" x14ac:dyDescent="0.25">
      <c r="F80" s="48">
        <f t="shared" si="1"/>
        <v>73</v>
      </c>
      <c r="G80" s="48">
        <v>2</v>
      </c>
      <c r="H80" s="41" t="s">
        <v>627</v>
      </c>
      <c r="I80" s="42" t="s">
        <v>628</v>
      </c>
      <c r="J80" s="42" t="s">
        <v>629</v>
      </c>
      <c r="K80" s="42">
        <v>1</v>
      </c>
      <c r="L80" s="42">
        <v>59</v>
      </c>
    </row>
    <row r="81" spans="6:12" x14ac:dyDescent="0.25">
      <c r="F81" s="49">
        <f t="shared" si="1"/>
        <v>74</v>
      </c>
      <c r="G81" s="49">
        <v>2</v>
      </c>
      <c r="H81" s="43" t="s">
        <v>630</v>
      </c>
      <c r="I81" s="45"/>
      <c r="J81" s="44" t="s">
        <v>631</v>
      </c>
      <c r="K81" s="44">
        <v>2</v>
      </c>
      <c r="L81" s="43">
        <v>73</v>
      </c>
    </row>
    <row r="82" spans="6:12" x14ac:dyDescent="0.25">
      <c r="F82" s="49">
        <f t="shared" si="1"/>
        <v>75</v>
      </c>
      <c r="G82" s="49">
        <v>2</v>
      </c>
      <c r="H82" s="43" t="s">
        <v>632</v>
      </c>
      <c r="I82" s="45"/>
      <c r="J82" s="44" t="s">
        <v>633</v>
      </c>
      <c r="K82" s="44">
        <v>2</v>
      </c>
      <c r="L82" s="43">
        <v>73</v>
      </c>
    </row>
    <row r="83" spans="6:12" x14ac:dyDescent="0.25">
      <c r="F83" s="49">
        <f t="shared" si="1"/>
        <v>76</v>
      </c>
      <c r="G83" s="49">
        <v>2</v>
      </c>
      <c r="H83" s="43" t="s">
        <v>634</v>
      </c>
      <c r="I83" s="45"/>
      <c r="J83" s="44" t="s">
        <v>635</v>
      </c>
      <c r="K83" s="44">
        <v>2</v>
      </c>
      <c r="L83" s="43">
        <v>73</v>
      </c>
    </row>
    <row r="84" spans="6:12" x14ac:dyDescent="0.25">
      <c r="F84" s="49">
        <f t="shared" si="1"/>
        <v>77</v>
      </c>
      <c r="G84" s="49">
        <v>2</v>
      </c>
      <c r="H84" s="43" t="s">
        <v>636</v>
      </c>
      <c r="I84" s="45"/>
      <c r="J84" s="44" t="s">
        <v>637</v>
      </c>
      <c r="K84" s="44">
        <v>2</v>
      </c>
      <c r="L84" s="43">
        <v>73</v>
      </c>
    </row>
    <row r="85" spans="6:12" x14ac:dyDescent="0.25">
      <c r="F85" s="48">
        <f t="shared" si="1"/>
        <v>78</v>
      </c>
      <c r="G85" s="48">
        <v>2</v>
      </c>
      <c r="H85" s="41" t="s">
        <v>638</v>
      </c>
      <c r="I85" s="42" t="s">
        <v>639</v>
      </c>
      <c r="J85" s="42" t="s">
        <v>640</v>
      </c>
      <c r="K85" s="42">
        <v>1</v>
      </c>
      <c r="L85" s="42">
        <v>59</v>
      </c>
    </row>
    <row r="86" spans="6:12" x14ac:dyDescent="0.25">
      <c r="F86" s="50">
        <f t="shared" si="1"/>
        <v>79</v>
      </c>
      <c r="G86" s="50">
        <v>2</v>
      </c>
      <c r="H86" s="39" t="s">
        <v>641</v>
      </c>
      <c r="I86" s="40" t="s">
        <v>642</v>
      </c>
      <c r="J86" s="40">
        <v>4</v>
      </c>
      <c r="K86" s="40">
        <v>0</v>
      </c>
      <c r="L86" s="40"/>
    </row>
    <row r="87" spans="6:12" x14ac:dyDescent="0.25">
      <c r="F87" s="48">
        <f t="shared" si="1"/>
        <v>80</v>
      </c>
      <c r="G87" s="48">
        <v>2</v>
      </c>
      <c r="H87" s="41" t="s">
        <v>643</v>
      </c>
      <c r="I87" s="42" t="s">
        <v>644</v>
      </c>
      <c r="J87" s="42" t="s">
        <v>645</v>
      </c>
      <c r="K87" s="42">
        <v>1</v>
      </c>
      <c r="L87" s="42">
        <v>79</v>
      </c>
    </row>
    <row r="88" spans="6:12" x14ac:dyDescent="0.25">
      <c r="F88" s="49">
        <f t="shared" si="1"/>
        <v>81</v>
      </c>
      <c r="G88" s="49">
        <v>2</v>
      </c>
      <c r="H88" s="43" t="s">
        <v>646</v>
      </c>
      <c r="I88" s="45"/>
      <c r="J88" s="44" t="s">
        <v>647</v>
      </c>
      <c r="K88" s="44">
        <v>2</v>
      </c>
      <c r="L88" s="43">
        <v>80</v>
      </c>
    </row>
    <row r="89" spans="6:12" x14ac:dyDescent="0.25">
      <c r="F89" s="49">
        <f t="shared" si="1"/>
        <v>82</v>
      </c>
      <c r="G89" s="49">
        <v>2</v>
      </c>
      <c r="H89" s="43" t="s">
        <v>648</v>
      </c>
      <c r="I89" s="45"/>
      <c r="J89" s="44" t="s">
        <v>649</v>
      </c>
      <c r="K89" s="44">
        <v>2</v>
      </c>
      <c r="L89" s="43">
        <v>80</v>
      </c>
    </row>
    <row r="90" spans="6:12" x14ac:dyDescent="0.25">
      <c r="F90" s="48">
        <f t="shared" si="1"/>
        <v>83</v>
      </c>
      <c r="G90" s="48">
        <v>2</v>
      </c>
      <c r="H90" s="41" t="s">
        <v>650</v>
      </c>
      <c r="I90" s="42" t="s">
        <v>651</v>
      </c>
      <c r="J90" s="42" t="s">
        <v>652</v>
      </c>
      <c r="K90" s="42">
        <v>1</v>
      </c>
      <c r="L90" s="42">
        <v>79</v>
      </c>
    </row>
    <row r="91" spans="6:12" x14ac:dyDescent="0.25">
      <c r="F91" s="49">
        <f t="shared" si="1"/>
        <v>84</v>
      </c>
      <c r="G91" s="49">
        <v>2</v>
      </c>
      <c r="H91" s="43" t="s">
        <v>653</v>
      </c>
      <c r="I91" s="45"/>
      <c r="J91" s="44" t="s">
        <v>654</v>
      </c>
      <c r="K91" s="44">
        <v>2</v>
      </c>
      <c r="L91" s="43">
        <v>83</v>
      </c>
    </row>
    <row r="92" spans="6:12" x14ac:dyDescent="0.25">
      <c r="F92" s="49">
        <f t="shared" si="1"/>
        <v>85</v>
      </c>
      <c r="G92" s="49">
        <v>2</v>
      </c>
      <c r="H92" s="43" t="s">
        <v>648</v>
      </c>
      <c r="I92" s="45"/>
      <c r="J92" s="44" t="s">
        <v>655</v>
      </c>
      <c r="K92" s="44">
        <v>2</v>
      </c>
      <c r="L92" s="43">
        <v>83</v>
      </c>
    </row>
    <row r="93" spans="6:12" x14ac:dyDescent="0.25">
      <c r="F93" s="48">
        <f t="shared" si="1"/>
        <v>86</v>
      </c>
      <c r="G93" s="48">
        <v>2</v>
      </c>
      <c r="H93" s="41" t="s">
        <v>656</v>
      </c>
      <c r="I93" s="42" t="s">
        <v>657</v>
      </c>
      <c r="J93" s="42" t="s">
        <v>658</v>
      </c>
      <c r="K93" s="42">
        <v>1</v>
      </c>
      <c r="L93" s="42">
        <v>79</v>
      </c>
    </row>
    <row r="94" spans="6:12" x14ac:dyDescent="0.25">
      <c r="F94" s="49">
        <f t="shared" si="1"/>
        <v>87</v>
      </c>
      <c r="G94" s="49">
        <v>2</v>
      </c>
      <c r="H94" s="43" t="s">
        <v>659</v>
      </c>
      <c r="I94" s="45"/>
      <c r="J94" s="44" t="s">
        <v>660</v>
      </c>
      <c r="K94" s="44">
        <v>2</v>
      </c>
      <c r="L94" s="43">
        <v>86</v>
      </c>
    </row>
    <row r="95" spans="6:12" x14ac:dyDescent="0.25">
      <c r="F95" s="49">
        <f t="shared" si="1"/>
        <v>88</v>
      </c>
      <c r="G95" s="49">
        <v>2</v>
      </c>
      <c r="H95" s="43" t="s">
        <v>661</v>
      </c>
      <c r="I95" s="45"/>
      <c r="J95" s="44" t="s">
        <v>662</v>
      </c>
      <c r="K95" s="44">
        <v>2</v>
      </c>
      <c r="L95" s="43">
        <v>86</v>
      </c>
    </row>
    <row r="96" spans="6:12" x14ac:dyDescent="0.25">
      <c r="F96" s="49">
        <f t="shared" si="1"/>
        <v>89</v>
      </c>
      <c r="G96" s="49">
        <v>2</v>
      </c>
      <c r="H96" s="43" t="s">
        <v>663</v>
      </c>
      <c r="I96" s="45"/>
      <c r="J96" s="44" t="s">
        <v>664</v>
      </c>
      <c r="K96" s="44">
        <v>2</v>
      </c>
      <c r="L96" s="43">
        <v>86</v>
      </c>
    </row>
    <row r="97" spans="6:12" x14ac:dyDescent="0.25">
      <c r="F97" s="50">
        <f t="shared" si="1"/>
        <v>90</v>
      </c>
      <c r="G97" s="50">
        <v>2</v>
      </c>
      <c r="H97" s="39" t="s">
        <v>665</v>
      </c>
      <c r="I97" s="40" t="s">
        <v>666</v>
      </c>
      <c r="J97" s="40">
        <v>5</v>
      </c>
      <c r="K97" s="40">
        <v>0</v>
      </c>
      <c r="L97" s="40"/>
    </row>
    <row r="98" spans="6:12" x14ac:dyDescent="0.25">
      <c r="F98" s="48">
        <f t="shared" si="1"/>
        <v>91</v>
      </c>
      <c r="G98" s="48">
        <v>2</v>
      </c>
      <c r="H98" s="41" t="s">
        <v>667</v>
      </c>
      <c r="I98" s="42" t="s">
        <v>668</v>
      </c>
      <c r="J98" s="42" t="s">
        <v>669</v>
      </c>
      <c r="K98" s="42">
        <v>1</v>
      </c>
      <c r="L98" s="42">
        <v>90</v>
      </c>
    </row>
    <row r="99" spans="6:12" x14ac:dyDescent="0.25">
      <c r="F99" s="49">
        <f t="shared" si="1"/>
        <v>92</v>
      </c>
      <c r="G99" s="49">
        <v>2</v>
      </c>
      <c r="H99" s="43" t="s">
        <v>670</v>
      </c>
      <c r="I99" s="45"/>
      <c r="J99" s="44" t="s">
        <v>671</v>
      </c>
      <c r="K99" s="44">
        <v>2</v>
      </c>
      <c r="L99" s="43">
        <v>91</v>
      </c>
    </row>
    <row r="100" spans="6:12" x14ac:dyDescent="0.25">
      <c r="F100" s="49">
        <f t="shared" si="1"/>
        <v>93</v>
      </c>
      <c r="G100" s="49">
        <v>2</v>
      </c>
      <c r="H100" s="43" t="s">
        <v>672</v>
      </c>
      <c r="I100" s="45"/>
      <c r="J100" s="44" t="s">
        <v>673</v>
      </c>
      <c r="K100" s="44">
        <v>2</v>
      </c>
      <c r="L100" s="43">
        <v>91</v>
      </c>
    </row>
    <row r="101" spans="6:12" x14ac:dyDescent="0.25">
      <c r="F101" s="49">
        <f t="shared" si="1"/>
        <v>94</v>
      </c>
      <c r="G101" s="49">
        <v>2</v>
      </c>
      <c r="H101" s="43" t="s">
        <v>648</v>
      </c>
      <c r="I101" s="45"/>
      <c r="J101" s="44" t="s">
        <v>674</v>
      </c>
      <c r="K101" s="44">
        <v>2</v>
      </c>
      <c r="L101" s="43">
        <v>91</v>
      </c>
    </row>
    <row r="102" spans="6:12" x14ac:dyDescent="0.25">
      <c r="F102" s="49">
        <f t="shared" si="1"/>
        <v>95</v>
      </c>
      <c r="G102" s="49">
        <v>2</v>
      </c>
      <c r="H102" s="43" t="s">
        <v>675</v>
      </c>
      <c r="I102" s="45"/>
      <c r="J102" s="44" t="s">
        <v>676</v>
      </c>
      <c r="K102" s="44">
        <v>2</v>
      </c>
      <c r="L102" s="43">
        <v>91</v>
      </c>
    </row>
    <row r="103" spans="6:12" x14ac:dyDescent="0.25">
      <c r="F103" s="48">
        <f t="shared" si="1"/>
        <v>96</v>
      </c>
      <c r="G103" s="48">
        <v>2</v>
      </c>
      <c r="H103" s="41" t="s">
        <v>677</v>
      </c>
      <c r="I103" s="42" t="s">
        <v>678</v>
      </c>
      <c r="J103" s="42" t="s">
        <v>679</v>
      </c>
      <c r="K103" s="42">
        <v>1</v>
      </c>
      <c r="L103" s="42">
        <v>90</v>
      </c>
    </row>
    <row r="104" spans="6:12" x14ac:dyDescent="0.25">
      <c r="F104" s="49">
        <f t="shared" si="1"/>
        <v>97</v>
      </c>
      <c r="G104" s="49">
        <v>2</v>
      </c>
      <c r="H104" s="43" t="s">
        <v>680</v>
      </c>
      <c r="I104" s="45"/>
      <c r="J104" s="44" t="s">
        <v>681</v>
      </c>
      <c r="K104" s="44">
        <v>2</v>
      </c>
      <c r="L104" s="43">
        <v>96</v>
      </c>
    </row>
    <row r="105" spans="6:12" x14ac:dyDescent="0.25">
      <c r="F105" s="49">
        <f t="shared" si="1"/>
        <v>98</v>
      </c>
      <c r="G105" s="49">
        <v>2</v>
      </c>
      <c r="H105" s="43" t="s">
        <v>682</v>
      </c>
      <c r="I105" s="45"/>
      <c r="J105" s="44" t="s">
        <v>683</v>
      </c>
      <c r="K105" s="44">
        <v>2</v>
      </c>
      <c r="L105" s="43">
        <v>96</v>
      </c>
    </row>
    <row r="106" spans="6:12" x14ac:dyDescent="0.25">
      <c r="F106" s="49">
        <f t="shared" si="1"/>
        <v>99</v>
      </c>
      <c r="G106" s="49">
        <v>2</v>
      </c>
      <c r="H106" s="43" t="s">
        <v>684</v>
      </c>
      <c r="I106" s="45"/>
      <c r="J106" s="44" t="s">
        <v>685</v>
      </c>
      <c r="K106" s="44">
        <v>2</v>
      </c>
      <c r="L106" s="43">
        <v>96</v>
      </c>
    </row>
    <row r="107" spans="6:12" x14ac:dyDescent="0.25">
      <c r="F107" s="50">
        <f t="shared" si="1"/>
        <v>100</v>
      </c>
      <c r="G107" s="50">
        <v>2</v>
      </c>
      <c r="H107" s="39" t="s">
        <v>686</v>
      </c>
      <c r="I107" s="40" t="s">
        <v>687</v>
      </c>
      <c r="J107" s="40">
        <v>6</v>
      </c>
      <c r="K107" s="40">
        <v>0</v>
      </c>
      <c r="L107" s="40"/>
    </row>
    <row r="108" spans="6:12" x14ac:dyDescent="0.25">
      <c r="F108" s="48">
        <f t="shared" si="1"/>
        <v>101</v>
      </c>
      <c r="G108" s="48">
        <v>2</v>
      </c>
      <c r="H108" s="41" t="s">
        <v>688</v>
      </c>
      <c r="I108" s="42" t="s">
        <v>689</v>
      </c>
      <c r="J108" s="42" t="s">
        <v>690</v>
      </c>
      <c r="K108" s="42">
        <v>1</v>
      </c>
      <c r="L108" s="42">
        <v>100</v>
      </c>
    </row>
    <row r="109" spans="6:12" x14ac:dyDescent="0.25">
      <c r="F109" s="49">
        <f t="shared" si="1"/>
        <v>102</v>
      </c>
      <c r="G109" s="49">
        <v>2</v>
      </c>
      <c r="H109" s="43" t="s">
        <v>691</v>
      </c>
      <c r="I109" s="45"/>
      <c r="J109" s="44" t="s">
        <v>692</v>
      </c>
      <c r="K109" s="44">
        <v>2</v>
      </c>
      <c r="L109" s="44">
        <v>101</v>
      </c>
    </row>
    <row r="110" spans="6:12" x14ac:dyDescent="0.25">
      <c r="F110" s="49">
        <f t="shared" si="1"/>
        <v>103</v>
      </c>
      <c r="G110" s="49">
        <v>2</v>
      </c>
      <c r="H110" s="43" t="s">
        <v>693</v>
      </c>
      <c r="I110" s="45"/>
      <c r="J110" s="44" t="s">
        <v>694</v>
      </c>
      <c r="K110" s="44">
        <v>2</v>
      </c>
      <c r="L110" s="44">
        <v>101</v>
      </c>
    </row>
    <row r="111" spans="6:12" x14ac:dyDescent="0.25">
      <c r="F111" s="48">
        <f t="shared" si="1"/>
        <v>104</v>
      </c>
      <c r="G111" s="48">
        <v>2</v>
      </c>
      <c r="H111" s="41" t="s">
        <v>695</v>
      </c>
      <c r="I111" s="42" t="s">
        <v>696</v>
      </c>
      <c r="J111" s="42" t="s">
        <v>697</v>
      </c>
      <c r="K111" s="42">
        <v>1</v>
      </c>
      <c r="L111" s="42">
        <v>100</v>
      </c>
    </row>
    <row r="112" spans="6:12" x14ac:dyDescent="0.25">
      <c r="F112" s="49">
        <f t="shared" si="1"/>
        <v>105</v>
      </c>
      <c r="G112" s="49">
        <v>2</v>
      </c>
      <c r="H112" s="43" t="s">
        <v>698</v>
      </c>
      <c r="I112" s="45"/>
      <c r="J112" s="44" t="s">
        <v>699</v>
      </c>
      <c r="K112" s="44">
        <v>2</v>
      </c>
      <c r="L112" s="43">
        <v>104</v>
      </c>
    </row>
    <row r="113" spans="6:12" x14ac:dyDescent="0.25">
      <c r="F113" s="49">
        <f t="shared" si="1"/>
        <v>106</v>
      </c>
      <c r="G113" s="49">
        <v>2</v>
      </c>
      <c r="H113" s="43" t="s">
        <v>700</v>
      </c>
      <c r="I113" s="45"/>
      <c r="J113" s="44" t="s">
        <v>701</v>
      </c>
      <c r="K113" s="44">
        <v>2</v>
      </c>
      <c r="L113" s="43">
        <v>104</v>
      </c>
    </row>
    <row r="114" spans="6:12" x14ac:dyDescent="0.25">
      <c r="F114" s="49">
        <f t="shared" si="1"/>
        <v>107</v>
      </c>
      <c r="G114" s="49">
        <v>2</v>
      </c>
      <c r="H114" s="43" t="s">
        <v>702</v>
      </c>
      <c r="I114" s="45"/>
      <c r="J114" s="44" t="s">
        <v>703</v>
      </c>
      <c r="K114" s="44">
        <v>2</v>
      </c>
      <c r="L114" s="43">
        <v>104</v>
      </c>
    </row>
    <row r="115" spans="6:12" x14ac:dyDescent="0.25">
      <c r="F115" s="49">
        <f t="shared" si="1"/>
        <v>108</v>
      </c>
      <c r="G115" s="49">
        <v>2</v>
      </c>
      <c r="H115" s="43" t="s">
        <v>704</v>
      </c>
      <c r="I115" s="45"/>
      <c r="J115" s="44" t="s">
        <v>705</v>
      </c>
      <c r="K115" s="44">
        <v>2</v>
      </c>
      <c r="L115" s="43">
        <v>104</v>
      </c>
    </row>
    <row r="116" spans="6:12" x14ac:dyDescent="0.25">
      <c r="F116" s="49">
        <f t="shared" si="1"/>
        <v>109</v>
      </c>
      <c r="G116" s="49">
        <v>2</v>
      </c>
      <c r="H116" s="43" t="s">
        <v>706</v>
      </c>
      <c r="I116" s="45"/>
      <c r="J116" s="44" t="s">
        <v>707</v>
      </c>
      <c r="K116" s="44">
        <v>2</v>
      </c>
      <c r="L116" s="43">
        <v>104</v>
      </c>
    </row>
    <row r="117" spans="6:12" x14ac:dyDescent="0.25">
      <c r="F117" s="49">
        <f t="shared" si="1"/>
        <v>110</v>
      </c>
      <c r="G117" s="49">
        <v>2</v>
      </c>
      <c r="H117" s="43" t="s">
        <v>708</v>
      </c>
      <c r="I117" s="45"/>
      <c r="J117" s="44" t="s">
        <v>709</v>
      </c>
      <c r="K117" s="44">
        <v>2</v>
      </c>
      <c r="L117" s="43">
        <v>104</v>
      </c>
    </row>
    <row r="118" spans="6:12" x14ac:dyDescent="0.25">
      <c r="F118" s="49">
        <f t="shared" si="1"/>
        <v>111</v>
      </c>
      <c r="G118" s="49">
        <v>2</v>
      </c>
      <c r="H118" s="43" t="s">
        <v>710</v>
      </c>
      <c r="I118" s="45"/>
      <c r="J118" s="44" t="s">
        <v>711</v>
      </c>
      <c r="K118" s="44">
        <v>2</v>
      </c>
      <c r="L118" s="43">
        <v>104</v>
      </c>
    </row>
    <row r="119" spans="6:12" x14ac:dyDescent="0.25">
      <c r="F119" s="48">
        <f t="shared" si="1"/>
        <v>112</v>
      </c>
      <c r="G119" s="48">
        <v>2</v>
      </c>
      <c r="H119" s="41" t="s">
        <v>712</v>
      </c>
      <c r="I119" s="42" t="s">
        <v>713</v>
      </c>
      <c r="J119" s="42" t="s">
        <v>714</v>
      </c>
      <c r="K119" s="42">
        <v>1</v>
      </c>
      <c r="L119" s="42">
        <v>100</v>
      </c>
    </row>
    <row r="120" spans="6:12" x14ac:dyDescent="0.25">
      <c r="F120" s="49">
        <f t="shared" si="1"/>
        <v>113</v>
      </c>
      <c r="G120" s="49">
        <v>2</v>
      </c>
      <c r="H120" s="43" t="s">
        <v>715</v>
      </c>
      <c r="I120" s="45"/>
      <c r="J120" s="44" t="s">
        <v>716</v>
      </c>
      <c r="K120" s="44">
        <v>2</v>
      </c>
      <c r="L120" s="43">
        <v>112</v>
      </c>
    </row>
    <row r="121" spans="6:12" x14ac:dyDescent="0.25">
      <c r="F121" s="49">
        <f t="shared" si="1"/>
        <v>114</v>
      </c>
      <c r="G121" s="49">
        <v>2</v>
      </c>
      <c r="H121" s="43" t="s">
        <v>717</v>
      </c>
      <c r="I121" s="45"/>
      <c r="J121" s="44" t="s">
        <v>718</v>
      </c>
      <c r="K121" s="44">
        <v>2</v>
      </c>
      <c r="L121" s="43">
        <v>112</v>
      </c>
    </row>
    <row r="122" spans="6:12" x14ac:dyDescent="0.25">
      <c r="F122" s="49">
        <f t="shared" si="1"/>
        <v>115</v>
      </c>
      <c r="G122" s="49">
        <v>2</v>
      </c>
      <c r="H122" s="43" t="s">
        <v>719</v>
      </c>
      <c r="I122" s="45"/>
      <c r="J122" s="44" t="s">
        <v>720</v>
      </c>
      <c r="K122" s="44">
        <v>2</v>
      </c>
      <c r="L122" s="43">
        <v>112</v>
      </c>
    </row>
    <row r="123" spans="6:12" x14ac:dyDescent="0.25">
      <c r="F123" s="49">
        <f t="shared" si="1"/>
        <v>116</v>
      </c>
      <c r="G123" s="49">
        <v>2</v>
      </c>
      <c r="H123" s="43" t="s">
        <v>721</v>
      </c>
      <c r="I123" s="45"/>
      <c r="J123" s="44" t="s">
        <v>722</v>
      </c>
      <c r="K123" s="44">
        <v>2</v>
      </c>
      <c r="L123" s="43">
        <v>112</v>
      </c>
    </row>
    <row r="124" spans="6:12" x14ac:dyDescent="0.25">
      <c r="F124" s="49">
        <f t="shared" si="1"/>
        <v>117</v>
      </c>
      <c r="G124" s="49">
        <v>2</v>
      </c>
      <c r="H124" s="43" t="s">
        <v>723</v>
      </c>
      <c r="I124" s="45"/>
      <c r="J124" s="44" t="s">
        <v>724</v>
      </c>
      <c r="K124" s="44">
        <v>2</v>
      </c>
      <c r="L124" s="43">
        <v>112</v>
      </c>
    </row>
    <row r="125" spans="6:12" x14ac:dyDescent="0.25">
      <c r="F125" s="49">
        <f t="shared" si="1"/>
        <v>118</v>
      </c>
      <c r="G125" s="49">
        <v>2</v>
      </c>
      <c r="H125" s="43" t="s">
        <v>725</v>
      </c>
      <c r="I125" s="45"/>
      <c r="J125" s="44" t="s">
        <v>726</v>
      </c>
      <c r="K125" s="44">
        <v>2</v>
      </c>
      <c r="L125" s="43">
        <v>112</v>
      </c>
    </row>
    <row r="126" spans="6:12" x14ac:dyDescent="0.25">
      <c r="F126" s="49">
        <f t="shared" si="1"/>
        <v>119</v>
      </c>
      <c r="G126" s="49">
        <v>2</v>
      </c>
      <c r="H126" s="43" t="s">
        <v>727</v>
      </c>
      <c r="I126" s="45"/>
      <c r="J126" s="44" t="s">
        <v>728</v>
      </c>
      <c r="K126" s="44">
        <v>2</v>
      </c>
      <c r="L126" s="43">
        <v>112</v>
      </c>
    </row>
    <row r="127" spans="6:12" x14ac:dyDescent="0.25">
      <c r="F127" s="49">
        <f t="shared" si="1"/>
        <v>120</v>
      </c>
      <c r="G127" s="49">
        <v>2</v>
      </c>
      <c r="H127" s="43" t="s">
        <v>729</v>
      </c>
      <c r="I127" s="45"/>
      <c r="J127" s="44" t="s">
        <v>730</v>
      </c>
      <c r="K127" s="44">
        <v>2</v>
      </c>
      <c r="L127" s="43">
        <v>112</v>
      </c>
    </row>
    <row r="128" spans="6:12" x14ac:dyDescent="0.25">
      <c r="F128" s="49">
        <f t="shared" si="1"/>
        <v>121</v>
      </c>
      <c r="G128" s="49">
        <v>2</v>
      </c>
      <c r="H128" s="43" t="s">
        <v>731</v>
      </c>
      <c r="I128" s="45"/>
      <c r="J128" s="44" t="s">
        <v>732</v>
      </c>
      <c r="K128" s="44">
        <v>2</v>
      </c>
      <c r="L128" s="43">
        <v>112</v>
      </c>
    </row>
    <row r="129" spans="6:12" x14ac:dyDescent="0.25">
      <c r="F129" s="49">
        <f t="shared" si="1"/>
        <v>122</v>
      </c>
      <c r="G129" s="49">
        <v>2</v>
      </c>
      <c r="H129" s="43" t="s">
        <v>733</v>
      </c>
      <c r="I129" s="45"/>
      <c r="J129" s="44" t="s">
        <v>734</v>
      </c>
      <c r="K129" s="44">
        <v>2</v>
      </c>
      <c r="L129" s="43">
        <v>112</v>
      </c>
    </row>
    <row r="130" spans="6:12" x14ac:dyDescent="0.25">
      <c r="F130" s="49">
        <f t="shared" si="1"/>
        <v>123</v>
      </c>
      <c r="G130" s="49">
        <v>2</v>
      </c>
      <c r="H130" s="43" t="s">
        <v>735</v>
      </c>
      <c r="I130" s="45"/>
      <c r="J130" s="44" t="s">
        <v>736</v>
      </c>
      <c r="K130" s="44">
        <v>2</v>
      </c>
      <c r="L130" s="43">
        <v>112</v>
      </c>
    </row>
    <row r="131" spans="6:12" x14ac:dyDescent="0.25">
      <c r="F131" s="48">
        <f t="shared" si="1"/>
        <v>124</v>
      </c>
      <c r="G131" s="48">
        <v>2</v>
      </c>
      <c r="H131" s="41" t="s">
        <v>737</v>
      </c>
      <c r="I131" s="42" t="s">
        <v>738</v>
      </c>
      <c r="J131" s="42" t="s">
        <v>739</v>
      </c>
      <c r="K131" s="42">
        <v>1</v>
      </c>
      <c r="L131" s="42">
        <v>100</v>
      </c>
    </row>
    <row r="132" spans="6:12" x14ac:dyDescent="0.25">
      <c r="F132" s="50">
        <f t="shared" si="1"/>
        <v>125</v>
      </c>
      <c r="G132" s="50">
        <v>2</v>
      </c>
      <c r="H132" s="39" t="s">
        <v>740</v>
      </c>
      <c r="I132" s="40" t="s">
        <v>741</v>
      </c>
      <c r="J132" s="40">
        <v>7</v>
      </c>
      <c r="K132" s="40">
        <v>0</v>
      </c>
      <c r="L132" s="40"/>
    </row>
    <row r="133" spans="6:12" x14ac:dyDescent="0.25">
      <c r="F133" s="48">
        <f t="shared" si="1"/>
        <v>126</v>
      </c>
      <c r="G133" s="48">
        <v>2</v>
      </c>
      <c r="H133" s="41" t="s">
        <v>742</v>
      </c>
      <c r="I133" s="42" t="s">
        <v>743</v>
      </c>
      <c r="J133" s="42" t="s">
        <v>744</v>
      </c>
      <c r="K133" s="42">
        <v>1</v>
      </c>
      <c r="L133" s="42">
        <v>125</v>
      </c>
    </row>
    <row r="134" spans="6:12" x14ac:dyDescent="0.25">
      <c r="F134" s="49">
        <f t="shared" si="1"/>
        <v>127</v>
      </c>
      <c r="G134" s="49">
        <v>2</v>
      </c>
      <c r="H134" s="43" t="s">
        <v>745</v>
      </c>
      <c r="I134" s="45"/>
      <c r="J134" s="44" t="s">
        <v>746</v>
      </c>
      <c r="K134" s="44">
        <v>2</v>
      </c>
      <c r="L134" s="43">
        <v>126</v>
      </c>
    </row>
    <row r="135" spans="6:12" x14ac:dyDescent="0.25">
      <c r="F135" s="49">
        <f t="shared" si="1"/>
        <v>128</v>
      </c>
      <c r="G135" s="49">
        <v>2</v>
      </c>
      <c r="H135" s="43" t="s">
        <v>747</v>
      </c>
      <c r="I135" s="45"/>
      <c r="J135" s="44" t="s">
        <v>748</v>
      </c>
      <c r="K135" s="44">
        <v>2</v>
      </c>
      <c r="L135" s="43">
        <v>126</v>
      </c>
    </row>
    <row r="136" spans="6:12" x14ac:dyDescent="0.25">
      <c r="F136" s="49">
        <f t="shared" si="1"/>
        <v>129</v>
      </c>
      <c r="G136" s="49">
        <v>2</v>
      </c>
      <c r="H136" s="43" t="s">
        <v>749</v>
      </c>
      <c r="I136" s="45"/>
      <c r="J136" s="44" t="s">
        <v>750</v>
      </c>
      <c r="K136" s="44">
        <v>2</v>
      </c>
      <c r="L136" s="43">
        <v>126</v>
      </c>
    </row>
    <row r="137" spans="6:12" x14ac:dyDescent="0.25">
      <c r="F137" s="48">
        <f t="shared" si="1"/>
        <v>130</v>
      </c>
      <c r="G137" s="48">
        <v>2</v>
      </c>
      <c r="H137" s="41" t="s">
        <v>751</v>
      </c>
      <c r="I137" s="42" t="s">
        <v>752</v>
      </c>
      <c r="J137" s="42" t="s">
        <v>753</v>
      </c>
      <c r="K137" s="42">
        <v>1</v>
      </c>
      <c r="L137" s="42">
        <v>125</v>
      </c>
    </row>
    <row r="138" spans="6:12" x14ac:dyDescent="0.25">
      <c r="F138" s="49">
        <f t="shared" ref="F138:F143" si="2">F137 + 1</f>
        <v>131</v>
      </c>
      <c r="G138" s="49">
        <v>2</v>
      </c>
      <c r="H138" s="43" t="s">
        <v>745</v>
      </c>
      <c r="I138" s="45"/>
      <c r="J138" s="44" t="s">
        <v>754</v>
      </c>
      <c r="K138" s="44">
        <v>2</v>
      </c>
      <c r="L138" s="43">
        <v>130</v>
      </c>
    </row>
    <row r="139" spans="6:12" x14ac:dyDescent="0.25">
      <c r="F139" s="49">
        <f t="shared" si="2"/>
        <v>132</v>
      </c>
      <c r="G139" s="49">
        <v>2</v>
      </c>
      <c r="H139" s="43" t="s">
        <v>747</v>
      </c>
      <c r="I139" s="45"/>
      <c r="J139" s="44" t="s">
        <v>755</v>
      </c>
      <c r="K139" s="44">
        <v>2</v>
      </c>
      <c r="L139" s="43">
        <v>130</v>
      </c>
    </row>
    <row r="140" spans="6:12" x14ac:dyDescent="0.25">
      <c r="F140" s="48">
        <f t="shared" si="2"/>
        <v>133</v>
      </c>
      <c r="G140" s="48">
        <v>2</v>
      </c>
      <c r="H140" s="41" t="s">
        <v>756</v>
      </c>
      <c r="I140" s="42" t="s">
        <v>757</v>
      </c>
      <c r="J140" s="42" t="s">
        <v>758</v>
      </c>
      <c r="K140" s="42">
        <v>1</v>
      </c>
      <c r="L140" s="42">
        <v>125</v>
      </c>
    </row>
    <row r="141" spans="6:12" x14ac:dyDescent="0.25">
      <c r="F141" s="49">
        <f t="shared" si="2"/>
        <v>134</v>
      </c>
      <c r="G141" s="49">
        <v>2</v>
      </c>
      <c r="H141" s="43" t="s">
        <v>759</v>
      </c>
      <c r="I141" s="45"/>
      <c r="J141" s="44" t="s">
        <v>760</v>
      </c>
      <c r="K141" s="44">
        <v>2</v>
      </c>
      <c r="L141" s="43">
        <v>133</v>
      </c>
    </row>
    <row r="142" spans="6:12" x14ac:dyDescent="0.25">
      <c r="F142" s="49">
        <f t="shared" si="2"/>
        <v>135</v>
      </c>
      <c r="G142" s="49">
        <v>2</v>
      </c>
      <c r="H142" s="43" t="s">
        <v>761</v>
      </c>
      <c r="I142" s="45"/>
      <c r="J142" s="44" t="s">
        <v>762</v>
      </c>
      <c r="K142" s="44">
        <v>2</v>
      </c>
      <c r="L142" s="43">
        <v>133</v>
      </c>
    </row>
    <row r="143" spans="6:12" x14ac:dyDescent="0.25">
      <c r="F143" s="49">
        <f t="shared" si="2"/>
        <v>136</v>
      </c>
      <c r="G143" s="49">
        <v>2</v>
      </c>
      <c r="H143" s="43" t="s">
        <v>763</v>
      </c>
      <c r="I143" s="45"/>
      <c r="J143" s="44" t="s">
        <v>764</v>
      </c>
      <c r="K143" s="44">
        <v>2</v>
      </c>
      <c r="L143" s="43">
        <v>133</v>
      </c>
    </row>
  </sheetData>
  <pageMargins left="0.7" right="0.7" top="0.75" bottom="0.75" header="0.3" footer="0.3"/>
  <ignoredErrors>
    <ignoredError sqref="J50 J45 J43 J62 J55 J67 J70 J75 J24 J28 J35 J9 J14 J18 J80 J85 J87 J90 J93 J98 J103 J108 J111 J119 J131 J133 J137 J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Legal Entity</vt:lpstr>
      <vt:lpstr>Legal Accounting Class</vt:lpstr>
      <vt:lpstr>Legal Accounting Ledger</vt:lpstr>
      <vt:lpstr>Accounting Rule</vt:lpstr>
      <vt:lpstr>Formula</vt:lpstr>
      <vt:lpstr>Conditions</vt:lpstr>
      <vt:lpstr>Amount Type</vt:lpstr>
      <vt:lpstr>Condition Values</vt:lpstr>
      <vt:lpstr>Accounting Event</vt:lpstr>
      <vt:lpstr>PseudoAccount</vt:lpstr>
      <vt:lpstr>Chart Of Account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Rikard Krameus</dc:creator>
  <cp:lastModifiedBy>Rikard Krameus</cp:lastModifiedBy>
  <dcterms:created xsi:type="dcterms:W3CDTF">2024-04-09T12:22:24Z</dcterms:created>
  <dcterms:modified xsi:type="dcterms:W3CDTF">2026-07-02T11:26:03Z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2024-04-09T17:01:04Z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36639af9-dbdc-4c5a-8fd8-ff8e0975e407</vt:lpwstr>
  </property>
  <property fmtid="{D5CDD505-2E9C-101B-9397-08002B2CF9AE}" pid="8" name="MSIP_Label_3b623b29-abd1-4de3-a20c-27566d79b7c7_ContentBits">
    <vt:lpwstr>0</vt:lpwstr>
  </property>
</Properties>
</file>